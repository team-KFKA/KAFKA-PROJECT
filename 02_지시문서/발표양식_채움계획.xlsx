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슬라이드별 계획" sheetId="2" state="visible" r:id="rId4"/>
    <sheet name="확인 질문" sheetId="3" state="visible" r:id="rId5"/>
    <sheet name="걸리는 점" sheetId="4" state="visible" r:id="rId6"/>
  </sheets>
  <definedNames>
    <definedName function="false" hidden="true" localSheetId="1" name="_xlnm._FilterDatabase" vbProcedure="false">'슬라이드별 계획'!$A$1:$L$39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Noto Sans CJK SC"/>
            <family val="2"/>
          </rPr>
          <t xml:space="preserve">노란 칸은 팀이 채우는 칸입니다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진행 상태는 목록에서 고릅니다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<sst xmlns="http://schemas.openxmlformats.org/spreadsheetml/2006/main" count="406" uniqueCount="276">
  <si>
    <r>
      <rPr>
        <b val="true"/>
        <sz val="14"/>
        <rFont val="Malgun Gothic"/>
        <family val="0"/>
        <charset val="1"/>
      </rPr>
      <t xml:space="preserve">BSR070 </t>
    </r>
    <r>
      <rPr>
        <b val="true"/>
        <sz val="14"/>
        <rFont val="Noto Sans CJK SC"/>
        <family val="2"/>
      </rPr>
      <t xml:space="preserve">가상공장 발표 양식 — 채움 계획</t>
    </r>
  </si>
  <si>
    <r>
      <rPr>
        <sz val="10"/>
        <color rgb="FF5A6B80"/>
        <rFont val="Noto Sans CJK SC"/>
        <family val="2"/>
      </rPr>
      <t xml:space="preserve">기준</t>
    </r>
    <r>
      <rPr>
        <sz val="10"/>
        <color rgb="FF5A6B80"/>
        <rFont val="Malgun Gothic"/>
        <family val="0"/>
        <charset val="1"/>
      </rPr>
      <t xml:space="preserve">: Canva 'BSR070 </t>
    </r>
    <r>
      <rPr>
        <sz val="10"/>
        <color rgb="FF5A6B80"/>
        <rFont val="Noto Sans CJK SC"/>
        <family val="2"/>
      </rPr>
      <t xml:space="preserve">가상공장 발표 양식</t>
    </r>
    <r>
      <rPr>
        <sz val="10"/>
        <color rgb="FF5A6B80"/>
        <rFont val="Malgun Gothic"/>
        <family val="0"/>
        <charset val="1"/>
      </rPr>
      <t xml:space="preserve">' 38</t>
    </r>
    <r>
      <rPr>
        <sz val="10"/>
        <color rgb="FF5A6B80"/>
        <rFont val="Noto Sans CJK SC"/>
        <family val="2"/>
      </rPr>
      <t xml:space="preserve">장 </t>
    </r>
    <r>
      <rPr>
        <sz val="10"/>
        <color rgb="FF5A6B80"/>
        <rFont val="Malgun Gothic"/>
        <family val="0"/>
        <charset val="1"/>
      </rPr>
      <t xml:space="preserve">· 2026-10-29 </t>
    </r>
    <r>
      <rPr>
        <sz val="10"/>
        <color rgb="FF5A6B80"/>
        <rFont val="Noto Sans CJK SC"/>
        <family val="2"/>
      </rPr>
      <t xml:space="preserve">점검</t>
    </r>
  </si>
  <si>
    <t xml:space="preserve">분류</t>
  </si>
  <si>
    <t xml:space="preserve">장 수</t>
  </si>
  <si>
    <t xml:space="preserve">뜻</t>
  </si>
  <si>
    <t xml:space="preserve">바로 채움</t>
  </si>
  <si>
    <t xml:space="preserve">근거 자료가 프로젝트에 있어 바로 채울 수 있음</t>
  </si>
  <si>
    <t xml:space="preserve">확인 후 채움</t>
  </si>
  <si>
    <r>
      <rPr>
        <sz val="10"/>
        <rFont val="Noto Sans CJK SC"/>
        <family val="2"/>
      </rPr>
      <t xml:space="preserve">질문 하나에 답이 오면 채울 수 있음 →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확인 질문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</si>
  <si>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팀 작업</t>
  </si>
  <si>
    <r>
      <rPr>
        <sz val="10"/>
        <rFont val="Noto Sans CJK SC"/>
        <family val="2"/>
      </rPr>
      <t xml:space="preserve">캡처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수치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기종 등 팀만 채울 수 있음</t>
    </r>
  </si>
  <si>
    <t xml:space="preserve">수정 필요</t>
  </si>
  <si>
    <t xml:space="preserve">내용은 있으나 고쳐야 함</t>
  </si>
  <si>
    <t xml:space="preserve">작성됨</t>
  </si>
  <si>
    <t xml:space="preserve">이미 작성됨</t>
  </si>
  <si>
    <t xml:space="preserve">합계</t>
  </si>
  <si>
    <t xml:space="preserve">완료 처리한 장</t>
  </si>
  <si>
    <t xml:space="preserve">진행률</t>
  </si>
  <si>
    <t xml:space="preserve">사용법</t>
  </si>
  <si>
    <r>
      <rPr>
        <sz val="10"/>
        <rFont val="Noto Sans CJK SC"/>
        <family val="2"/>
      </rPr>
      <t xml:space="preserve">노란 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담당자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진행 상태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메모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확인 질문의 답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만 팀이 채웁니다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나머지 칸과 숫자는 수식으로 계산됩니다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</si>
  <si>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장 하단의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출처</t>
    </r>
    <r>
      <rPr>
        <sz val="10"/>
        <rFont val="Malgun Gothic"/>
        <family val="0"/>
        <charset val="1"/>
      </rPr>
      <t xml:space="preserve">: [</t>
    </r>
    <r>
      <rPr>
        <sz val="10"/>
        <rFont val="Noto Sans CJK SC"/>
        <family val="2"/>
      </rPr>
      <t xml:space="preserve">자료명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기관 </t>
    </r>
    <r>
      <rPr>
        <sz val="10"/>
        <rFont val="Malgun Gothic"/>
        <family val="0"/>
        <charset val="1"/>
      </rPr>
      <t xml:space="preserve">/ URL / </t>
    </r>
    <r>
      <rPr>
        <sz val="10"/>
        <rFont val="Noto Sans CJK SC"/>
        <family val="2"/>
      </rPr>
      <t xml:space="preserve">열람일 입력</t>
    </r>
    <r>
      <rPr>
        <sz val="10"/>
        <rFont val="Malgun Gothic"/>
        <family val="0"/>
        <charset val="1"/>
      </rPr>
      <t xml:space="preserve">]' </t>
    </r>
    <r>
      <rPr>
        <sz val="10"/>
        <rFont val="Noto Sans CJK SC"/>
        <family val="2"/>
      </rPr>
      <t xml:space="preserve">칸은 내용을 채운 장만 출처를 넣고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근거가 없는 장은 칸을 지웁니다</t>
    </r>
    <r>
      <rPr>
        <sz val="10"/>
        <rFont val="Malgun Gothic"/>
        <family val="0"/>
        <charset val="1"/>
      </rPr>
      <t xml:space="preserve">.</t>
    </r>
  </si>
  <si>
    <t xml:space="preserve">쪽</t>
  </si>
  <si>
    <t xml:space="preserve">섹션</t>
  </si>
  <si>
    <t xml:space="preserve">필수 항목</t>
  </si>
  <si>
    <t xml:space="preserve">슬라이드 제목</t>
  </si>
  <si>
    <r>
      <rPr>
        <b val="true"/>
        <sz val="10"/>
        <color rgb="FFFFFFFF"/>
        <rFont val="Noto Sans CJK SC"/>
        <family val="2"/>
      </rPr>
      <t xml:space="preserve">채울 내용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초안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</si>
  <si>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근거 자료</t>
  </si>
  <si>
    <r>
      <rPr>
        <b val="true"/>
        <sz val="10"/>
        <color rgb="FFFFFFFF"/>
        <rFont val="Noto Sans CJK SC"/>
        <family val="2"/>
      </rPr>
      <t xml:space="preserve">확인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필요한 것</t>
    </r>
  </si>
  <si>
    <t xml:space="preserve">담당자</t>
  </si>
  <si>
    <t xml:space="preserve">기한</t>
  </si>
  <si>
    <t xml:space="preserve">진행 상태</t>
  </si>
  <si>
    <t xml:space="preserve">메모</t>
  </si>
  <si>
    <t xml:space="preserve">표지</t>
  </si>
  <si>
    <t xml:space="preserve">—</t>
  </si>
  <si>
    <r>
      <rPr>
        <sz val="10"/>
        <rFont val="Noto Sans CJK SC"/>
        <family val="2"/>
      </rPr>
      <t xml:space="preserve">변동을 먼저 잡는 가상공장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부제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발표자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</si>
  <si>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부제</t>
    </r>
    <r>
      <rPr>
        <sz val="10"/>
        <rFont val="Malgun Gothic"/>
        <family val="0"/>
        <charset val="1"/>
      </rPr>
      <t xml:space="preserve">: BSR070 </t>
    </r>
    <r>
      <rPr>
        <sz val="10"/>
        <rFont val="Noto Sans CJK SC"/>
        <family val="2"/>
      </rPr>
      <t xml:space="preserve">사이클로이드 감속기 조립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검사 자동화 가상공장 </t>
    </r>
    <r>
      <rPr>
        <sz val="10"/>
        <rFont val="Malgun Gothic"/>
        <family val="0"/>
        <charset val="1"/>
      </rPr>
      <t xml:space="preserve">· Team KAFKA</t>
    </r>
  </si>
  <si>
    <r>
      <rPr>
        <sz val="10"/>
        <rFont val="Noto Sans CJK SC"/>
        <family val="2"/>
      </rPr>
      <t xml:space="preserve">덱 제목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확정 주제</t>
    </r>
  </si>
  <si>
    <t xml:space="preserve">발표자 이름</t>
  </si>
  <si>
    <t xml:space="preserve">미착수</t>
  </si>
  <si>
    <t xml:space="preserve">목차</t>
  </si>
  <si>
    <r>
      <rPr>
        <sz val="10"/>
        <rFont val="Noto Sans CJK SC"/>
        <family val="2"/>
      </rPr>
      <t xml:space="preserve">현재 메모를 </t>
    </r>
    <r>
      <rPr>
        <sz val="10"/>
        <rFont val="Malgun Gothic"/>
        <family val="0"/>
        <charset val="1"/>
      </rPr>
      <t xml:space="preserve">A </t>
    </r>
    <r>
      <rPr>
        <sz val="10"/>
        <rFont val="Noto Sans CJK SC"/>
        <family val="2"/>
      </rPr>
      <t xml:space="preserve">팀과 진행 → </t>
    </r>
    <r>
      <rPr>
        <sz val="10"/>
        <rFont val="Malgun Gothic"/>
        <family val="0"/>
        <charset val="1"/>
      </rPr>
      <t xml:space="preserve">B </t>
    </r>
    <r>
      <rPr>
        <sz val="10"/>
        <rFont val="Noto Sans CJK SC"/>
        <family val="2"/>
      </rPr>
      <t xml:space="preserve">설계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모델링 → </t>
    </r>
    <r>
      <rPr>
        <sz val="10"/>
        <rFont val="Malgun Gothic"/>
        <family val="0"/>
        <charset val="1"/>
      </rPr>
      <t xml:space="preserve">C </t>
    </r>
    <r>
      <rPr>
        <sz val="10"/>
        <rFont val="Noto Sans CJK SC"/>
        <family val="2"/>
      </rPr>
      <t xml:space="preserve">레이아웃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공정</t>
    </r>
    <r>
      <rPr>
        <sz val="10"/>
        <rFont val="Malgun Gothic"/>
        <family val="0"/>
        <charset val="1"/>
      </rPr>
      <t xml:space="preserve">·KPI → D </t>
    </r>
    <r>
      <rPr>
        <sz val="10"/>
        <rFont val="Noto Sans CJK SC"/>
        <family val="2"/>
      </rPr>
      <t xml:space="preserve">시뮬레이션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해석 순서로 정리</t>
    </r>
  </si>
  <si>
    <t xml:space="preserve">섹션 간지 구성</t>
  </si>
  <si>
    <t xml:space="preserve">A</t>
  </si>
  <si>
    <r>
      <rPr>
        <sz val="10"/>
        <rFont val="Malgun Gothic"/>
        <family val="0"/>
        <charset val="1"/>
      </rPr>
      <t xml:space="preserve">A. </t>
    </r>
    <r>
      <rPr>
        <sz val="10"/>
        <rFont val="Noto Sans CJK SC"/>
        <family val="2"/>
      </rPr>
      <t xml:space="preserve">팀과 진행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간지 요약</t>
    </r>
    <r>
      <rPr>
        <sz val="10"/>
        <rFont val="Malgun Gothic"/>
        <family val="0"/>
        <charset val="1"/>
      </rPr>
      <t xml:space="preserve">)</t>
    </r>
  </si>
  <si>
    <t xml:space="preserve">범위를 감속기로 좁혀 계획의 변동을 줄였다</t>
  </si>
  <si>
    <t xml:space="preserve">표지 제목과 연결</t>
  </si>
  <si>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1</t>
    </r>
  </si>
  <si>
    <t xml:space="preserve">팀명 소개와 의미</t>
  </si>
  <si>
    <r>
      <rPr>
        <sz val="10"/>
        <rFont val="Malgun Gothic"/>
        <family val="0"/>
        <charset val="1"/>
      </rPr>
      <t xml:space="preserve">KAFKA = Kinetic · Automation · Factory · Knowledge · Architecture / "</t>
    </r>
    <r>
      <rPr>
        <sz val="10"/>
        <rFont val="Noto Sans CJK SC"/>
        <family val="2"/>
      </rPr>
      <t xml:space="preserve">제조공정 지식으로 로봇과 자동화를 연결해 하나의 가상공장으로 구현하는 사람들</t>
    </r>
    <r>
      <rPr>
        <sz val="10"/>
        <rFont val="Malgun Gothic"/>
        <family val="0"/>
        <charset val="1"/>
      </rPr>
      <t xml:space="preserve">"</t>
    </r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</si>
  <si>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차 기획발표 슬라이드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메모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번</t>
    </r>
    <r>
      <rPr>
        <sz val="10"/>
        <rFont val="Malgun Gothic"/>
        <family val="0"/>
        <charset val="1"/>
      </rPr>
      <t xml:space="preserve">(O)</t>
    </r>
  </si>
  <si>
    <t xml:space="preserve">스토리텔링 문장 팀 확인</t>
  </si>
  <si>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2</t>
    </r>
  </si>
  <si>
    <t xml:space="preserve">분업 진행 상태</t>
  </si>
  <si>
    <r>
      <rPr>
        <sz val="10"/>
        <rFont val="Malgun Gothic"/>
        <family val="0"/>
        <charset val="1"/>
      </rPr>
      <t xml:space="preserve">10/20 </t>
    </r>
    <r>
      <rPr>
        <sz val="10"/>
        <rFont val="Noto Sans CJK SC"/>
        <family val="2"/>
      </rPr>
      <t xml:space="preserve">분업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지그 설계 김민서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레이아웃 최적화 이경준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원정빈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레이아웃 시뮬 김석현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원정빈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개념 정리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논의 위상경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박정호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진행</t>
    </r>
    <r>
      <rPr>
        <sz val="10"/>
        <rFont val="Malgun Gothic"/>
        <family val="0"/>
        <charset val="1"/>
      </rPr>
      <t xml:space="preserve">: 10/28 </t>
    </r>
    <r>
      <rPr>
        <sz val="10"/>
        <rFont val="Noto Sans CJK SC"/>
        <family val="2"/>
      </rPr>
      <t xml:space="preserve">회의록 기준</t>
    </r>
  </si>
  <si>
    <r>
      <rPr>
        <sz val="10"/>
        <rFont val="Malgun Gothic"/>
        <family val="0"/>
        <charset val="1"/>
      </rPr>
      <t xml:space="preserve">10/20·10/28 </t>
    </r>
    <r>
      <rPr>
        <sz val="10"/>
        <rFont val="Noto Sans CJK SC"/>
        <family val="2"/>
      </rPr>
      <t xml:space="preserve">회의록</t>
    </r>
  </si>
  <si>
    <r>
      <rPr>
        <sz val="10"/>
        <rFont val="Noto Sans CJK SC"/>
        <family val="2"/>
      </rPr>
      <t xml:space="preserve">양식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총괄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모델링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레이아웃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관리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문서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에 누구를 넣을지</t>
    </r>
  </si>
  <si>
    <t xml:space="preserve">분업 변경 사항과 사유</t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</si>
  <si>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차 역할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모델링 이경준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레이아웃 박정호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시뮬 김민서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문서 김석현</t>
    </r>
    <r>
      <rPr>
        <sz val="10"/>
        <rFont val="Malgun Gothic"/>
        <family val="0"/>
        <charset val="1"/>
      </rPr>
      <t xml:space="preserve">, DATA </t>
    </r>
    <r>
      <rPr>
        <sz val="10"/>
        <rFont val="Noto Sans CJK SC"/>
        <family val="2"/>
      </rPr>
      <t xml:space="preserve">원정빈</t>
    </r>
    <r>
      <rPr>
        <sz val="10"/>
        <rFont val="Malgun Gothic"/>
        <family val="0"/>
        <charset val="1"/>
      </rPr>
      <t xml:space="preserve">) → 10/20 </t>
    </r>
    <r>
      <rPr>
        <sz val="10"/>
        <rFont val="Noto Sans CJK SC"/>
        <family val="2"/>
      </rPr>
      <t xml:space="preserve">분업으로 변경</t>
    </r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</si>
  <si>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차 기획 팀 구성 슬라이드</t>
    </r>
    <r>
      <rPr>
        <sz val="10"/>
        <rFont val="Malgun Gothic"/>
        <family val="0"/>
        <charset val="1"/>
      </rPr>
      <t xml:space="preserve">, 10/20 </t>
    </r>
    <r>
      <rPr>
        <sz val="10"/>
        <rFont val="Noto Sans CJK SC"/>
        <family val="2"/>
      </rPr>
      <t xml:space="preserve">회의록</t>
    </r>
  </si>
  <si>
    <r>
      <rPr>
        <sz val="10"/>
        <rFont val="Noto Sans CJK SC"/>
        <family val="2"/>
      </rPr>
      <t xml:space="preserve">변경 사유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회의록에 기록 없음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</si>
  <si>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3</t>
    </r>
  </si>
  <si>
    <t xml:space="preserve">아이템과 주제 변경 여부</t>
  </si>
  <si>
    <t xml:space="preserve">액추에이터 전체 공정 → 핵심 부품인 감속기 공정 먼저 완성 → 이후 액추에이터 전체 공정으로 재진입 예정</t>
  </si>
  <si>
    <r>
      <rPr>
        <sz val="10"/>
        <rFont val="Noto Sans CJK SC"/>
        <family val="2"/>
      </rPr>
      <t xml:space="preserve">메모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번</t>
    </r>
  </si>
  <si>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4</t>
    </r>
  </si>
  <si>
    <t xml:space="preserve">공정 변경과 선택 이유</t>
  </si>
  <si>
    <t xml:space="preserve">수작업 중심 공정을 자동화로 바꿀 때 실현 가능한 범위를 가늠하기 어려워 감속기 공정부터 완성하기로 함</t>
  </si>
  <si>
    <r>
      <rPr>
        <sz val="10"/>
        <rFont val="Noto Sans CJK SC"/>
        <family val="2"/>
      </rPr>
      <t xml:space="preserve">메모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번</t>
    </r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</si>
  <si>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차</t>
    </r>
    <r>
      <rPr>
        <sz val="10"/>
        <rFont val="Malgun Gothic"/>
        <family val="0"/>
        <charset val="1"/>
      </rPr>
      <t xml:space="preserve">(U</t>
    </r>
    <r>
      <rPr>
        <sz val="10"/>
        <rFont val="Noto Sans CJK SC"/>
        <family val="2"/>
      </rPr>
      <t xml:space="preserve">자</t>
    </r>
    <r>
      <rPr>
        <sz val="10"/>
        <rFont val="Malgun Gothic"/>
        <family val="0"/>
        <charset val="1"/>
      </rPr>
      <t xml:space="preserve">·01~09) → 2</t>
    </r>
    <r>
      <rPr>
        <sz val="10"/>
        <rFont val="Noto Sans CJK SC"/>
        <family val="2"/>
      </rPr>
      <t xml:space="preserve">차</t>
    </r>
    <r>
      <rPr>
        <sz val="10"/>
        <rFont val="Malgun Gothic"/>
        <family val="0"/>
        <charset val="1"/>
      </rPr>
      <t xml:space="preserve">(1</t>
    </r>
    <r>
      <rPr>
        <sz val="10"/>
        <rFont val="Noto Sans CJK SC"/>
        <family val="2"/>
      </rPr>
      <t xml:space="preserve">자</t>
    </r>
    <r>
      <rPr>
        <sz val="10"/>
        <rFont val="Malgun Gothic"/>
        <family val="0"/>
        <charset val="1"/>
      </rPr>
      <t xml:space="preserve">·OP10~70) </t>
    </r>
    <r>
      <rPr>
        <sz val="10"/>
        <rFont val="Noto Sans CJK SC"/>
        <family val="2"/>
      </rPr>
      <t xml:space="preserve">레이아웃 변경 사유도 넣을지</t>
    </r>
  </si>
  <si>
    <t xml:space="preserve">B</t>
  </si>
  <si>
    <r>
      <rPr>
        <sz val="10"/>
        <rFont val="Malgun Gothic"/>
        <family val="0"/>
        <charset val="1"/>
      </rPr>
      <t xml:space="preserve">B. </t>
    </r>
    <r>
      <rPr>
        <sz val="10"/>
        <rFont val="Noto Sans CJK SC"/>
        <family val="2"/>
      </rPr>
      <t xml:space="preserve">설계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모델링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간지 요약</t>
    </r>
    <r>
      <rPr>
        <sz val="10"/>
        <rFont val="Malgun Gothic"/>
        <family val="0"/>
        <charset val="1"/>
      </rPr>
      <t xml:space="preserve">)</t>
    </r>
  </si>
  <si>
    <t xml:space="preserve">역설계에서 확인값과 추정값을 나눴다</t>
  </si>
  <si>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5</t>
    </r>
  </si>
  <si>
    <r>
      <rPr>
        <sz val="10"/>
        <rFont val="Noto Sans CJK SC"/>
        <family val="2"/>
      </rPr>
      <t xml:space="preserve">사용 </t>
    </r>
    <r>
      <rPr>
        <sz val="10"/>
        <rFont val="Malgun Gothic"/>
        <family val="0"/>
        <charset val="1"/>
      </rPr>
      <t xml:space="preserve">App</t>
    </r>
  </si>
  <si>
    <r>
      <rPr>
        <sz val="10"/>
        <rFont val="Malgun Gothic"/>
        <family val="0"/>
        <charset val="1"/>
      </rPr>
      <t xml:space="preserve">CATIA: </t>
    </r>
    <r>
      <rPr>
        <sz val="10"/>
        <rFont val="Noto Sans CJK SC"/>
        <family val="2"/>
      </rPr>
      <t xml:space="preserve">감속기 </t>
    </r>
    <r>
      <rPr>
        <sz val="10"/>
        <rFont val="Malgun Gothic"/>
        <family val="0"/>
        <charset val="1"/>
      </rPr>
      <t xml:space="preserve">50</t>
    </r>
    <r>
      <rPr>
        <sz val="10"/>
        <rFont val="Noto Sans CJK SC"/>
        <family val="2"/>
      </rPr>
      <t xml:space="preserve">개 부품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설비 모델링 </t>
    </r>
    <r>
      <rPr>
        <sz val="10"/>
        <rFont val="Malgun Gothic"/>
        <family val="0"/>
        <charset val="1"/>
      </rPr>
      <t xml:space="preserve">/ SIMULIA: </t>
    </r>
    <r>
      <rPr>
        <sz val="10"/>
        <rFont val="Noto Sans CJK SC"/>
        <family val="2"/>
      </rPr>
      <t xml:space="preserve">베어링 압입 해석 </t>
    </r>
    <r>
      <rPr>
        <sz val="10"/>
        <rFont val="Malgun Gothic"/>
        <family val="0"/>
        <charset val="1"/>
      </rPr>
      <t xml:space="preserve">/ DELMIA: AS-IS </t>
    </r>
    <r>
      <rPr>
        <sz val="10"/>
        <rFont val="Noto Sans CJK SC"/>
        <family val="2"/>
      </rPr>
      <t xml:space="preserve">레이아웃</t>
    </r>
    <r>
      <rPr>
        <sz val="10"/>
        <rFont val="Malgun Gothic"/>
        <family val="0"/>
        <charset val="1"/>
      </rPr>
      <t xml:space="preserve">, In/Out Zone + </t>
    </r>
    <r>
      <rPr>
        <sz val="10"/>
        <rFont val="Noto Sans CJK SC"/>
        <family val="2"/>
      </rPr>
      <t xml:space="preserve">유저로직</t>
    </r>
    <r>
      <rPr>
        <sz val="10"/>
        <rFont val="Malgun Gothic"/>
        <family val="0"/>
        <charset val="1"/>
      </rPr>
      <t xml:space="preserve">(EKL)</t>
    </r>
  </si>
  <si>
    <r>
      <rPr>
        <sz val="10"/>
        <rFont val="Malgun Gothic"/>
        <family val="0"/>
        <charset val="1"/>
      </rPr>
      <t xml:space="preserve">10/13 </t>
    </r>
    <r>
      <rPr>
        <sz val="10"/>
        <rFont val="Noto Sans CJK SC"/>
        <family val="2"/>
      </rPr>
      <t xml:space="preserve">해석 보고서</t>
    </r>
    <r>
      <rPr>
        <sz val="10"/>
        <rFont val="Malgun Gothic"/>
        <family val="0"/>
        <charset val="1"/>
      </rPr>
      <t xml:space="preserve">, 10/21~22 DELMIA </t>
    </r>
    <r>
      <rPr>
        <sz val="10"/>
        <rFont val="Noto Sans CJK SC"/>
        <family val="2"/>
      </rPr>
      <t xml:space="preserve">작업</t>
    </r>
  </si>
  <si>
    <r>
      <rPr>
        <sz val="10"/>
        <rFont val="Malgun Gothic"/>
        <family val="0"/>
        <charset val="1"/>
      </rPr>
      <t xml:space="preserve">ENOVIA </t>
    </r>
    <r>
      <rPr>
        <sz val="10"/>
        <rFont val="Noto Sans CJK SC"/>
        <family val="2"/>
      </rPr>
      <t xml:space="preserve">실제 사용 여부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카탈로그 </t>
    </r>
    <r>
      <rPr>
        <sz val="10"/>
        <rFont val="Malgun Gothic"/>
        <family val="0"/>
        <charset val="1"/>
      </rPr>
      <t xml:space="preserve">KAFKA_00_Catalog</t>
    </r>
    <r>
      <rPr>
        <sz val="10"/>
        <rFont val="Noto Sans CJK SC"/>
        <family val="2"/>
      </rPr>
      <t xml:space="preserve">를 </t>
    </r>
    <r>
      <rPr>
        <sz val="10"/>
        <rFont val="Malgun Gothic"/>
        <family val="0"/>
        <charset val="1"/>
      </rPr>
      <t xml:space="preserve">ENOVIA</t>
    </r>
    <r>
      <rPr>
        <sz val="10"/>
        <rFont val="Noto Sans CJK SC"/>
        <family val="2"/>
      </rPr>
      <t xml:space="preserve">로 볼지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</si>
  <si>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App </t>
    </r>
    <r>
      <rPr>
        <sz val="10"/>
        <rFont val="Noto Sans CJK SC"/>
        <family val="2"/>
      </rPr>
      <t xml:space="preserve">활용 현황</t>
    </r>
  </si>
  <si>
    <t xml:space="preserve">앱별 작업 화면 캡처</t>
  </si>
  <si>
    <t xml:space="preserve">캡처 이미지</t>
  </si>
  <si>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6</t>
    </r>
  </si>
  <si>
    <t xml:space="preserve">모델링 분배</t>
  </si>
  <si>
    <r>
      <rPr>
        <sz val="10"/>
        <rFont val="Noto Sans CJK SC"/>
        <family val="2"/>
      </rPr>
      <t xml:space="preserve">감속기 </t>
    </r>
    <r>
      <rPr>
        <sz val="10"/>
        <rFont val="Malgun Gothic"/>
        <family val="0"/>
        <charset val="1"/>
      </rPr>
      <t xml:space="preserve">50</t>
    </r>
    <r>
      <rPr>
        <sz val="10"/>
        <rFont val="Noto Sans CJK SC"/>
        <family val="2"/>
      </rPr>
      <t xml:space="preserve">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완료</t>
    </r>
    <r>
      <rPr>
        <sz val="10"/>
        <rFont val="Malgun Gothic"/>
        <family val="0"/>
        <charset val="1"/>
      </rPr>
      <t xml:space="preserve">) · </t>
    </r>
    <r>
      <rPr>
        <sz val="10"/>
        <rFont val="Noto Sans CJK SC"/>
        <family val="2"/>
      </rPr>
      <t xml:space="preserve">지그 김민서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설비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롤러 피더 </t>
    </r>
    <r>
      <rPr>
        <sz val="10"/>
        <rFont val="Malgun Gothic"/>
        <family val="0"/>
        <charset val="1"/>
      </rPr>
      <t xml:space="preserve">· EOAT · </t>
    </r>
    <r>
      <rPr>
        <sz val="10"/>
        <rFont val="Noto Sans CJK SC"/>
        <family val="2"/>
      </rPr>
      <t xml:space="preserve">서보프레스</t>
    </r>
    <r>
      <rPr>
        <sz val="10"/>
        <rFont val="Malgun Gothic"/>
        <family val="0"/>
        <charset val="1"/>
      </rPr>
      <t xml:space="preserve">) 4</t>
    </r>
    <r>
      <rPr>
        <sz val="10"/>
        <rFont val="Noto Sans CJK SC"/>
        <family val="2"/>
      </rPr>
      <t xml:space="preserve">명 진행</t>
    </r>
  </si>
  <si>
    <r>
      <rPr>
        <sz val="10"/>
        <rFont val="Malgun Gothic"/>
        <family val="0"/>
        <charset val="1"/>
      </rPr>
      <t xml:space="preserve">10/28 </t>
    </r>
    <r>
      <rPr>
        <sz val="10"/>
        <rFont val="Noto Sans CJK SC"/>
        <family val="2"/>
      </rPr>
      <t xml:space="preserve">회의록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메모 </t>
    </r>
    <r>
      <rPr>
        <sz val="10"/>
        <rFont val="Malgun Gothic"/>
        <family val="0"/>
        <charset val="1"/>
      </rPr>
      <t xml:space="preserve">6</t>
    </r>
    <r>
      <rPr>
        <sz val="10"/>
        <rFont val="Noto Sans CJK SC"/>
        <family val="2"/>
      </rPr>
      <t xml:space="preserve">번</t>
    </r>
  </si>
  <si>
    <t xml:space="preserve">설비 모델링의 사람별 담당</t>
  </si>
  <si>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7</t>
    </r>
  </si>
  <si>
    <t xml:space="preserve">제조 아이템 설계 방식</t>
  </si>
  <si>
    <r>
      <rPr>
        <sz val="10"/>
        <rFont val="Noto Sans CJK SC"/>
        <family val="2"/>
      </rPr>
      <t xml:space="preserve">역설계 — 기준</t>
    </r>
    <r>
      <rPr>
        <sz val="10"/>
        <rFont val="Malgun Gothic"/>
        <family val="0"/>
        <charset val="1"/>
      </rPr>
      <t xml:space="preserve">: Bonsystems BSR070 </t>
    </r>
    <r>
      <rPr>
        <sz val="10"/>
        <rFont val="Noto Sans CJK SC"/>
        <family val="2"/>
      </rPr>
      <t xml:space="preserve">공개 </t>
    </r>
    <r>
      <rPr>
        <sz val="10"/>
        <rFont val="Malgun Gothic"/>
        <family val="0"/>
        <charset val="1"/>
      </rPr>
      <t xml:space="preserve">CAD·</t>
    </r>
    <r>
      <rPr>
        <sz val="10"/>
        <rFont val="Noto Sans CJK SC"/>
        <family val="2"/>
      </rPr>
      <t xml:space="preserve">사양표</t>
    </r>
    <r>
      <rPr>
        <sz val="10"/>
        <rFont val="Malgun Gothic"/>
        <family val="0"/>
        <charset val="1"/>
      </rPr>
      <t xml:space="preserve">, R5 </t>
    </r>
    <r>
      <rPr>
        <sz val="10"/>
        <rFont val="Noto Sans CJK SC"/>
        <family val="2"/>
      </rPr>
      <t xml:space="preserve">모델 부품 </t>
    </r>
    <r>
      <rPr>
        <sz val="10"/>
        <rFont val="Malgun Gothic"/>
        <family val="0"/>
        <charset val="1"/>
      </rPr>
      <t xml:space="preserve">50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</si>
  <si>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메모 </t>
    </r>
    <r>
      <rPr>
        <sz val="10"/>
        <rFont val="Malgun Gothic"/>
        <family val="0"/>
        <charset val="1"/>
      </rPr>
      <t xml:space="preserve">7</t>
    </r>
    <r>
      <rPr>
        <sz val="10"/>
        <rFont val="Noto Sans CJK SC"/>
        <family val="2"/>
      </rPr>
      <t xml:space="preserve">번</t>
    </r>
    <r>
      <rPr>
        <sz val="10"/>
        <rFont val="Malgun Gothic"/>
        <family val="0"/>
        <charset val="1"/>
      </rPr>
      <t xml:space="preserve">, 1</t>
    </r>
    <r>
      <rPr>
        <sz val="10"/>
        <rFont val="Noto Sans CJK SC"/>
        <family val="2"/>
      </rPr>
      <t xml:space="preserve">차 기획 </t>
    </r>
    <r>
      <rPr>
        <sz val="10"/>
        <rFont val="Malgun Gothic"/>
        <family val="0"/>
        <charset val="1"/>
      </rPr>
      <t xml:space="preserve">BSR070 </t>
    </r>
    <r>
      <rPr>
        <sz val="10"/>
        <rFont val="Noto Sans CJK SC"/>
        <family val="2"/>
      </rPr>
      <t xml:space="preserve">슬라이드</t>
    </r>
  </si>
  <si>
    <r>
      <rPr>
        <sz val="10"/>
        <rFont val="Noto Sans CJK SC"/>
        <family val="2"/>
      </rPr>
      <t xml:space="preserve">확인값과 추정값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역설계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</si>
  <si>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확인값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외형 </t>
    </r>
    <r>
      <rPr>
        <sz val="10"/>
        <rFont val="Malgun Gothic"/>
        <family val="0"/>
        <charset val="1"/>
      </rPr>
      <t xml:space="preserve">Ø73×34.5 mm, </t>
    </r>
    <r>
      <rPr>
        <sz val="10"/>
        <rFont val="Noto Sans CJK SC"/>
        <family val="2"/>
      </rPr>
      <t xml:space="preserve">질량 </t>
    </r>
    <r>
      <rPr>
        <sz val="10"/>
        <rFont val="Malgun Gothic"/>
        <family val="0"/>
        <charset val="1"/>
      </rPr>
      <t xml:space="preserve">0.64 kg, </t>
    </r>
    <r>
      <rPr>
        <sz val="10"/>
        <rFont val="Noto Sans CJK SC"/>
        <family val="2"/>
      </rPr>
      <t xml:space="preserve">감속비 </t>
    </r>
    <r>
      <rPr>
        <sz val="10"/>
        <rFont val="Malgun Gothic"/>
        <family val="0"/>
        <charset val="1"/>
      </rPr>
      <t xml:space="preserve">49:1 (</t>
    </r>
    <r>
      <rPr>
        <sz val="10"/>
        <rFont val="Noto Sans CJK SC"/>
        <family val="2"/>
      </rPr>
      <t xml:space="preserve">제조사 사양 </t>
    </r>
    <r>
      <rPr>
        <sz val="10"/>
        <rFont val="Malgun Gothic"/>
        <family val="0"/>
        <charset val="1"/>
      </rPr>
      <t xml:space="preserve">BSR 070-049) / </t>
    </r>
    <r>
      <rPr>
        <sz val="10"/>
        <rFont val="Noto Sans CJK SC"/>
        <family val="2"/>
      </rPr>
      <t xml:space="preserve">추정값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내부 치수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치형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베어링 선정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재구성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</si>
  <si>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차 기획 </t>
    </r>
    <r>
      <rPr>
        <sz val="10"/>
        <rFont val="Malgun Gothic"/>
        <family val="0"/>
        <charset val="1"/>
      </rPr>
      <t xml:space="preserve">BSR070 </t>
    </r>
    <r>
      <rPr>
        <sz val="10"/>
        <rFont val="Noto Sans CJK SC"/>
        <family val="2"/>
      </rPr>
      <t xml:space="preserve">슬라이드 각주</t>
    </r>
  </si>
  <si>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8</t>
    </r>
  </si>
  <si>
    <r>
      <rPr>
        <sz val="10"/>
        <rFont val="Malgun Gothic"/>
        <family val="0"/>
        <charset val="1"/>
      </rPr>
      <t xml:space="preserve">Cloud </t>
    </r>
    <r>
      <rPr>
        <sz val="10"/>
        <rFont val="Noto Sans CJK SC"/>
        <family val="2"/>
      </rPr>
      <t xml:space="preserve">콘텐츠 관리</t>
    </r>
  </si>
  <si>
    <r>
      <rPr>
        <sz val="10"/>
        <rFont val="Noto Sans CJK SC"/>
        <family val="2"/>
      </rPr>
      <t xml:space="preserve">카탈로그 </t>
    </r>
    <r>
      <rPr>
        <sz val="10"/>
        <rFont val="Malgun Gothic"/>
        <family val="0"/>
        <charset val="1"/>
      </rPr>
      <t xml:space="preserve">KAFKA_00_Catalog · </t>
    </r>
    <r>
      <rPr>
        <sz val="10"/>
        <rFont val="Noto Sans CJK SC"/>
        <family val="2"/>
      </rPr>
      <t xml:space="preserve">파일명 규칙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부품 이름 매핑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제조품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장비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툴 </t>
    </r>
    <r>
      <rPr>
        <sz val="10"/>
        <rFont val="Malgun Gothic"/>
        <family val="0"/>
        <charset val="1"/>
      </rPr>
      <t xml:space="preserve">/ AMR </t>
    </r>
    <r>
      <rPr>
        <sz val="10"/>
        <rFont val="Noto Sans CJK SC"/>
        <family val="2"/>
      </rPr>
      <t xml:space="preserve">분류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</si>
  <si>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03_</t>
    </r>
    <r>
      <rPr>
        <sz val="10"/>
        <rFont val="Noto Sans CJK SC"/>
        <family val="2"/>
      </rPr>
      <t xml:space="preserve">파일명규칙</t>
    </r>
    <r>
      <rPr>
        <sz val="10"/>
        <rFont val="Malgun Gothic"/>
        <family val="0"/>
        <charset val="1"/>
      </rPr>
      <t xml:space="preserve">, 261021 Naming </t>
    </r>
    <r>
      <rPr>
        <sz val="10"/>
        <rFont val="Noto Sans CJK SC"/>
        <family val="2"/>
      </rPr>
      <t xml:space="preserve">매핑</t>
    </r>
  </si>
  <si>
    <r>
      <rPr>
        <sz val="10"/>
        <rFont val="Noto Sans CJK SC"/>
        <family val="2"/>
      </rPr>
      <t xml:space="preserve">캡처 이미지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팀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</si>
  <si>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9</t>
    </r>
  </si>
  <si>
    <t xml:space="preserve">모델링 진행 현황</t>
  </si>
  <si>
    <r>
      <rPr>
        <sz val="10"/>
        <rFont val="Noto Sans CJK SC"/>
        <family val="2"/>
      </rPr>
      <t xml:space="preserve">감속기 </t>
    </r>
    <r>
      <rPr>
        <sz val="10"/>
        <rFont val="Malgun Gothic"/>
        <family val="0"/>
        <charset val="1"/>
      </rPr>
      <t xml:space="preserve">50</t>
    </r>
    <r>
      <rPr>
        <sz val="10"/>
        <rFont val="Noto Sans CJK SC"/>
        <family val="2"/>
      </rPr>
      <t xml:space="preserve">개 완료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세부 수정 중</t>
    </r>
    <r>
      <rPr>
        <sz val="10"/>
        <rFont val="Malgun Gothic"/>
        <family val="0"/>
        <charset val="1"/>
      </rPr>
      <t xml:space="preserve">) · </t>
    </r>
    <r>
      <rPr>
        <sz val="10"/>
        <rFont val="Noto Sans CJK SC"/>
        <family val="2"/>
      </rPr>
      <t xml:space="preserve">설비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롤러 피더 </t>
    </r>
    <r>
      <rPr>
        <sz val="10"/>
        <rFont val="Malgun Gothic"/>
        <family val="0"/>
        <charset val="1"/>
      </rPr>
      <t xml:space="preserve">· EOAT · </t>
    </r>
    <r>
      <rPr>
        <sz val="10"/>
        <rFont val="Noto Sans CJK SC"/>
        <family val="2"/>
      </rPr>
      <t xml:space="preserve">서보프레스 진행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지그 레퍼런스 탐색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이송로봇 레퍼런스 탐색</t>
    </r>
  </si>
  <si>
    <r>
      <rPr>
        <sz val="10"/>
        <rFont val="Malgun Gothic"/>
        <family val="0"/>
        <charset val="1"/>
      </rPr>
      <t xml:space="preserve">10/27·10/28 </t>
    </r>
    <r>
      <rPr>
        <sz val="10"/>
        <rFont val="Noto Sans CJK SC"/>
        <family val="2"/>
      </rPr>
      <t xml:space="preserve">회의록</t>
    </r>
  </si>
  <si>
    <r>
      <rPr>
        <sz val="10"/>
        <rFont val="Noto Sans CJK SC"/>
        <family val="2"/>
      </rPr>
      <t xml:space="preserve">메카니즘과 설정 </t>
    </r>
    <r>
      <rPr>
        <sz val="10"/>
        <rFont val="Malgun Gothic"/>
        <family val="0"/>
        <charset val="1"/>
      </rPr>
      <t xml:space="preserve">App</t>
    </r>
  </si>
  <si>
    <r>
      <rPr>
        <sz val="10"/>
        <rFont val="Noto Sans CJK SC"/>
        <family val="2"/>
      </rPr>
      <t xml:space="preserve">제안안</t>
    </r>
    <r>
      <rPr>
        <sz val="10"/>
        <rFont val="Malgun Gothic"/>
        <family val="0"/>
        <charset val="1"/>
      </rPr>
      <t xml:space="preserve">: CATIA Mechanical Systems Design(</t>
    </r>
    <r>
      <rPr>
        <sz val="10"/>
        <rFont val="Noto Sans CJK SC"/>
        <family val="2"/>
      </rPr>
      <t xml:space="preserve">프레스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클램프 동작</t>
    </r>
    <r>
      <rPr>
        <sz val="10"/>
        <rFont val="Malgun Gothic"/>
        <family val="0"/>
        <charset val="1"/>
      </rPr>
      <t xml:space="preserve">) / DELMIA Robot Simulation(SCARA·AMR)</t>
    </r>
  </si>
  <si>
    <r>
      <rPr>
        <sz val="10"/>
        <rFont val="Noto Sans CJK SC"/>
        <family val="2"/>
      </rPr>
      <t xml:space="preserve">메모 </t>
    </r>
    <r>
      <rPr>
        <sz val="10"/>
        <rFont val="Malgun Gothic"/>
        <family val="0"/>
        <charset val="1"/>
      </rPr>
      <t xml:space="preserve">9</t>
    </r>
    <r>
      <rPr>
        <sz val="10"/>
        <rFont val="Noto Sans CJK SC"/>
        <family val="2"/>
      </rPr>
      <t xml:space="preserve">번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미정</t>
    </r>
    <r>
      <rPr>
        <sz val="10"/>
        <rFont val="Malgun Gothic"/>
        <family val="0"/>
        <charset val="1"/>
      </rPr>
      <t xml:space="preserve">)</t>
    </r>
  </si>
  <si>
    <t xml:space="preserve">제안안 팀 승인</t>
  </si>
  <si>
    <t xml:space="preserve">C</t>
  </si>
  <si>
    <r>
      <rPr>
        <sz val="10"/>
        <rFont val="Malgun Gothic"/>
        <family val="0"/>
        <charset val="1"/>
      </rPr>
      <t xml:space="preserve">C. </t>
    </r>
    <r>
      <rPr>
        <sz val="10"/>
        <rFont val="Noto Sans CJK SC"/>
        <family val="2"/>
      </rPr>
      <t xml:space="preserve">레이아웃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공정</t>
    </r>
    <r>
      <rPr>
        <sz val="10"/>
        <rFont val="Malgun Gothic"/>
        <family val="0"/>
        <charset val="1"/>
      </rPr>
      <t xml:space="preserve">·KPI (</t>
    </r>
    <r>
      <rPr>
        <sz val="10"/>
        <rFont val="Noto Sans CJK SC"/>
        <family val="2"/>
      </rPr>
      <t xml:space="preserve">간지 요약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</si>
  <si>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AS-IS</t>
    </r>
    <r>
      <rPr>
        <sz val="10"/>
        <rFont val="Noto Sans CJK SC"/>
        <family val="2"/>
      </rPr>
      <t xml:space="preserve">와 같은 기준으로 비교했다</t>
    </r>
  </si>
  <si>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10</t>
    </r>
  </si>
  <si>
    <r>
      <rPr>
        <sz val="10"/>
        <rFont val="Noto Sans CJK SC"/>
        <family val="2"/>
      </rPr>
      <t xml:space="preserve">기존 공정 분석 </t>
    </r>
    <r>
      <rPr>
        <sz val="10"/>
        <rFont val="Malgun Gothic"/>
        <family val="0"/>
        <charset val="1"/>
      </rPr>
      <t xml:space="preserve">AS-IS</t>
    </r>
  </si>
  <si>
    <r>
      <rPr>
        <sz val="10"/>
        <rFont val="Noto Sans CJK SC"/>
        <family val="2"/>
      </rPr>
      <t xml:space="preserve">공정 </t>
    </r>
    <r>
      <rPr>
        <sz val="10"/>
        <rFont val="Malgun Gothic"/>
        <family val="0"/>
        <charset val="1"/>
      </rPr>
      <t xml:space="preserve">A~E (</t>
    </r>
    <r>
      <rPr>
        <sz val="10"/>
        <rFont val="Noto Sans CJK SC"/>
        <family val="2"/>
      </rPr>
      <t xml:space="preserve">하우징 결합 → 입력축 → 출력 캐리어 → 메인 조립 → 마감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검사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인원 </t>
    </r>
    <r>
      <rPr>
        <sz val="10"/>
        <rFont val="Malgun Gothic"/>
        <family val="0"/>
        <charset val="1"/>
      </rPr>
      <t xml:space="preserve">6</t>
    </r>
    <r>
      <rPr>
        <sz val="10"/>
        <rFont val="Noto Sans CJK SC"/>
        <family val="2"/>
      </rPr>
      <t xml:space="preserve">명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조립 </t>
    </r>
    <r>
      <rPr>
        <sz val="10"/>
        <rFont val="Malgun Gothic"/>
        <family val="0"/>
        <charset val="1"/>
      </rPr>
      <t xml:space="preserve">5 + </t>
    </r>
    <r>
      <rPr>
        <sz val="10"/>
        <rFont val="Noto Sans CJK SC"/>
        <family val="2"/>
      </rPr>
      <t xml:space="preserve">운반 </t>
    </r>
    <r>
      <rPr>
        <sz val="10"/>
        <rFont val="Malgun Gothic"/>
        <family val="0"/>
        <charset val="1"/>
      </rPr>
      <t xml:space="preserve">1), </t>
    </r>
    <r>
      <rPr>
        <sz val="10"/>
        <rFont val="Noto Sans CJK SC"/>
        <family val="2"/>
      </rPr>
      <t xml:space="preserve">사이클타임 </t>
    </r>
    <r>
      <rPr>
        <sz val="10"/>
        <rFont val="Malgun Gothic"/>
        <family val="0"/>
        <charset val="1"/>
      </rPr>
      <t xml:space="preserve">289</t>
    </r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시간당 약 </t>
    </r>
    <r>
      <rPr>
        <sz val="10"/>
        <rFont val="Malgun Gothic"/>
        <family val="0"/>
        <charset val="1"/>
      </rPr>
      <t xml:space="preserve">12.5</t>
    </r>
    <r>
      <rPr>
        <sz val="10"/>
        <rFont val="Noto Sans CJK SC"/>
        <family val="2"/>
      </rPr>
      <t xml:space="preserve">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라인 효율 </t>
    </r>
    <r>
      <rPr>
        <sz val="10"/>
        <rFont val="Malgun Gothic"/>
        <family val="0"/>
        <charset val="1"/>
      </rPr>
      <t xml:space="preserve">63.6%</t>
    </r>
  </si>
  <si>
    <r>
      <rPr>
        <sz val="10"/>
        <rFont val="Malgun Gothic"/>
        <family val="0"/>
        <charset val="1"/>
      </rPr>
      <t xml:space="preserve">AS-IS </t>
    </r>
    <r>
      <rPr>
        <sz val="10"/>
        <rFont val="Noto Sans CJK SC"/>
        <family val="2"/>
      </rPr>
      <t xml:space="preserve">보고서 검토</t>
    </r>
    <r>
      <rPr>
        <sz val="10"/>
        <rFont val="Malgun Gothic"/>
        <family val="0"/>
        <charset val="1"/>
      </rPr>
      <t xml:space="preserve">(10/19)</t>
    </r>
  </si>
  <si>
    <r>
      <rPr>
        <sz val="10"/>
        <rFont val="Noto Sans CJK SC"/>
        <family val="2"/>
      </rPr>
      <t xml:space="preserve">시간 기준 확정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보고서 </t>
    </r>
    <r>
      <rPr>
        <sz val="10"/>
        <rFont val="Malgun Gothic"/>
        <family val="0"/>
        <charset val="1"/>
      </rPr>
      <t xml:space="preserve">vs </t>
    </r>
    <r>
      <rPr>
        <sz val="10"/>
        <rFont val="Noto Sans CJK SC"/>
        <family val="2"/>
      </rPr>
      <t xml:space="preserve">구상도</t>
    </r>
    <r>
      <rPr>
        <sz val="10"/>
        <rFont val="Malgun Gothic"/>
        <family val="0"/>
        <charset val="1"/>
      </rPr>
      <t xml:space="preserve">) — '</t>
    </r>
    <r>
      <rPr>
        <sz val="10"/>
        <rFont val="Noto Sans CJK SC"/>
        <family val="2"/>
      </rPr>
      <t xml:space="preserve">걸리는 점</t>
    </r>
    <r>
      <rPr>
        <sz val="10"/>
        <rFont val="Malgun Gothic"/>
        <family val="0"/>
        <charset val="1"/>
      </rPr>
      <t xml:space="preserve">' 2</t>
    </r>
    <r>
      <rPr>
        <sz val="10"/>
        <rFont val="Noto Sans CJK SC"/>
        <family val="2"/>
      </rPr>
      <t xml:space="preserve">번</t>
    </r>
  </si>
  <si>
    <t xml:space="preserve">면적 설정</t>
  </si>
  <si>
    <r>
      <rPr>
        <sz val="10"/>
        <rFont val="Noto Sans CJK SC"/>
        <family val="2"/>
      </rPr>
      <t xml:space="preserve">가로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세로 </t>
    </r>
    <r>
      <rPr>
        <sz val="10"/>
        <rFont val="Malgun Gothic"/>
        <family val="0"/>
        <charset val="1"/>
      </rPr>
      <t xml:space="preserve">mm → m² </t>
    </r>
    <r>
      <rPr>
        <sz val="10"/>
        <rFont val="Noto Sans CJK SC"/>
        <family val="2"/>
      </rPr>
      <t xml:space="preserve">환산</t>
    </r>
  </si>
  <si>
    <r>
      <rPr>
        <sz val="10"/>
        <rFont val="Noto Sans CJK SC"/>
        <family val="2"/>
      </rPr>
      <t xml:space="preserve">메모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번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미정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메모 </t>
    </r>
    <r>
      <rPr>
        <sz val="10"/>
        <rFont val="Malgun Gothic"/>
        <family val="0"/>
        <charset val="1"/>
      </rPr>
      <t xml:space="preserve">13</t>
    </r>
    <r>
      <rPr>
        <sz val="10"/>
        <rFont val="Noto Sans CJK SC"/>
        <family val="2"/>
      </rPr>
      <t xml:space="preserve">번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창원 역산</t>
    </r>
    <r>
      <rPr>
        <sz val="10"/>
        <rFont val="Malgun Gothic"/>
        <family val="0"/>
        <charset val="1"/>
      </rPr>
      <t xml:space="preserve">)</t>
    </r>
  </si>
  <si>
    <t xml:space="preserve">면적 수치</t>
  </si>
  <si>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11</t>
    </r>
  </si>
  <si>
    <t xml:space="preserve">개선 레이아웃 초안</t>
  </si>
  <si>
    <r>
      <rPr>
        <sz val="10"/>
        <rFont val="Malgun Gothic"/>
        <family val="0"/>
        <charset val="1"/>
      </rPr>
      <t xml:space="preserve">TO-BE </t>
    </r>
    <r>
      <rPr>
        <sz val="10"/>
        <rFont val="Noto Sans CJK SC"/>
        <family val="2"/>
      </rPr>
      <t xml:space="preserve">레이아웃 캡처</t>
    </r>
  </si>
  <si>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12</t>
    </r>
  </si>
  <si>
    <r>
      <rPr>
        <sz val="10"/>
        <rFont val="Noto Sans CJK SC"/>
        <family val="2"/>
      </rPr>
      <t xml:space="preserve">레이아웃 흐름과 </t>
    </r>
    <r>
      <rPr>
        <sz val="10"/>
        <rFont val="Malgun Gothic"/>
        <family val="0"/>
        <charset val="1"/>
      </rPr>
      <t xml:space="preserve">In / Out</t>
    </r>
  </si>
  <si>
    <r>
      <rPr>
        <sz val="10"/>
        <rFont val="Noto Sans CJK SC"/>
        <family val="2"/>
      </rPr>
      <t xml:space="preserve">입고 대기 → </t>
    </r>
    <r>
      <rPr>
        <sz val="10"/>
        <rFont val="Malgun Gothic"/>
        <family val="0"/>
        <charset val="1"/>
      </rPr>
      <t xml:space="preserve">AMR → OP10~70 1</t>
    </r>
    <r>
      <rPr>
        <sz val="10"/>
        <rFont val="Noto Sans CJK SC"/>
        <family val="2"/>
      </rPr>
      <t xml:space="preserve">자 지그 컨베이어 → 출하 대기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수작업 셀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개는 버퍼로 공급</t>
    </r>
  </si>
  <si>
    <r>
      <rPr>
        <sz val="10"/>
        <rFont val="Malgun Gothic"/>
        <family val="0"/>
        <charset val="1"/>
      </rPr>
      <t xml:space="preserve">TO-BE </t>
    </r>
    <r>
      <rPr>
        <sz val="10"/>
        <rFont val="Noto Sans CJK SC"/>
        <family val="2"/>
      </rPr>
      <t xml:space="preserve">레이아웃 구성</t>
    </r>
    <r>
      <rPr>
        <sz val="10"/>
        <rFont val="Malgun Gothic"/>
        <family val="0"/>
        <charset val="1"/>
      </rPr>
      <t xml:space="preserve">(10/29)</t>
    </r>
  </si>
  <si>
    <t xml:space="preserve">흐름이 맞는지 확인</t>
  </si>
  <si>
    <r>
      <rPr>
        <sz val="10"/>
        <rFont val="Malgun Gothic"/>
        <family val="0"/>
        <charset val="1"/>
      </rPr>
      <t xml:space="preserve">AS-IS </t>
    </r>
    <r>
      <rPr>
        <sz val="10"/>
        <rFont val="Noto Sans CJK SC"/>
        <family val="2"/>
      </rPr>
      <t xml:space="preserve">비교 모델</t>
    </r>
  </si>
  <si>
    <r>
      <rPr>
        <sz val="10"/>
        <rFont val="Malgun Gothic"/>
        <family val="0"/>
        <charset val="1"/>
      </rPr>
      <t xml:space="preserve">DELMIA AS-IS </t>
    </r>
    <r>
      <rPr>
        <sz val="10"/>
        <rFont val="Noto Sans CJK SC"/>
        <family val="2"/>
      </rPr>
      <t xml:space="preserve">모델 캡처</t>
    </r>
  </si>
  <si>
    <r>
      <rPr>
        <sz val="10"/>
        <rFont val="Malgun Gothic"/>
        <family val="0"/>
        <charset val="1"/>
      </rPr>
      <t xml:space="preserve">10/22 </t>
    </r>
    <r>
      <rPr>
        <sz val="10"/>
        <rFont val="Noto Sans CJK SC"/>
        <family val="2"/>
      </rPr>
      <t xml:space="preserve">운반 동작 확인까지 진행</t>
    </r>
  </si>
  <si>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14</t>
    </r>
  </si>
  <si>
    <r>
      <rPr>
        <sz val="10"/>
        <rFont val="Noto Sans CJK SC"/>
        <family val="2"/>
      </rPr>
      <t xml:space="preserve">인력 배치 전략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수작업 셀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자동화 라인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</si>
  <si>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내용 있음</t>
    </r>
    <r>
      <rPr>
        <sz val="10"/>
        <rFont val="Malgun Gothic"/>
        <family val="0"/>
        <charset val="1"/>
      </rPr>
      <t xml:space="preserve">: Table 1 </t>
    </r>
    <r>
      <rPr>
        <sz val="10"/>
        <rFont val="Noto Sans CJK SC"/>
        <family val="2"/>
      </rPr>
      <t xml:space="preserve">하우징 결합 </t>
    </r>
    <r>
      <rPr>
        <sz val="10"/>
        <rFont val="Malgun Gothic"/>
        <family val="0"/>
        <charset val="1"/>
      </rPr>
      <t xml:space="preserve">85</t>
    </r>
    <r>
      <rPr>
        <sz val="10"/>
        <rFont val="Noto Sans CJK SC"/>
        <family val="2"/>
      </rPr>
      <t xml:space="preserve">초 </t>
    </r>
    <r>
      <rPr>
        <sz val="10"/>
        <rFont val="Malgun Gothic"/>
        <family val="0"/>
        <charset val="1"/>
      </rPr>
      <t xml:space="preserve">· Table 2 </t>
    </r>
    <r>
      <rPr>
        <sz val="10"/>
        <rFont val="Noto Sans CJK SC"/>
        <family val="2"/>
      </rPr>
      <t xml:space="preserve">편심축 조립 </t>
    </r>
    <r>
      <rPr>
        <sz val="10"/>
        <rFont val="Malgun Gothic"/>
        <family val="0"/>
        <charset val="1"/>
      </rPr>
      <t xml:space="preserve">45</t>
    </r>
    <r>
      <rPr>
        <sz val="10"/>
        <rFont val="Noto Sans CJK SC"/>
        <family val="2"/>
      </rPr>
      <t xml:space="preserve">초 </t>
    </r>
    <r>
      <rPr>
        <sz val="10"/>
        <rFont val="Malgun Gothic"/>
        <family val="0"/>
        <charset val="1"/>
      </rPr>
      <t xml:space="preserve">· OP10~70 · </t>
    </r>
    <r>
      <rPr>
        <sz val="10"/>
        <rFont val="Noto Sans CJK SC"/>
        <family val="2"/>
      </rPr>
      <t xml:space="preserve">목표 </t>
    </r>
    <r>
      <rPr>
        <sz val="10"/>
        <rFont val="Malgun Gothic"/>
        <family val="0"/>
        <charset val="1"/>
      </rPr>
      <t xml:space="preserve">C/T 15</t>
    </r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대</t>
    </r>
  </si>
  <si>
    <t xml:space="preserve">현재 슬라이드</t>
  </si>
  <si>
    <r>
      <rPr>
        <sz val="10"/>
        <rFont val="Noto Sans CJK SC"/>
        <family val="2"/>
      </rPr>
      <t xml:space="preserve">제목 텍스트 겹침 정리 </t>
    </r>
    <r>
      <rPr>
        <sz val="10"/>
        <rFont val="Malgun Gothic"/>
        <family val="0"/>
        <charset val="1"/>
      </rPr>
      <t xml:space="preserve">· C/T 15</t>
    </r>
    <r>
      <rPr>
        <sz val="10"/>
        <rFont val="Noto Sans CJK SC"/>
        <family val="2"/>
      </rPr>
      <t xml:space="preserve">초 근거 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걸리는 점</t>
    </r>
    <r>
      <rPr>
        <sz val="10"/>
        <rFont val="Malgun Gothic"/>
        <family val="0"/>
        <charset val="1"/>
      </rPr>
      <t xml:space="preserve">' 1</t>
    </r>
    <r>
      <rPr>
        <sz val="10"/>
        <rFont val="Noto Sans CJK SC"/>
        <family val="2"/>
      </rPr>
      <t xml:space="preserve">번</t>
    </r>
  </si>
  <si>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15</t>
    </r>
  </si>
  <si>
    <t xml:space="preserve">장비와 설비 선정 이유</t>
  </si>
  <si>
    <r>
      <rPr>
        <sz val="10"/>
        <rFont val="Noto Sans CJK SC"/>
        <family val="2"/>
      </rPr>
      <t xml:space="preserve">선정 이유를 장비별로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로봇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반송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프레스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컨베이어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트레이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선반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</si>
  <si>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메모 </t>
    </r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번</t>
    </r>
    <r>
      <rPr>
        <sz val="10"/>
        <rFont val="Malgun Gothic"/>
        <family val="0"/>
        <charset val="1"/>
      </rPr>
      <t xml:space="preserve">, TO-BE </t>
    </r>
    <r>
      <rPr>
        <sz val="10"/>
        <rFont val="Noto Sans CJK SC"/>
        <family val="2"/>
      </rPr>
      <t xml:space="preserve">구성</t>
    </r>
  </si>
  <si>
    <r>
      <rPr>
        <sz val="10"/>
        <rFont val="Noto Sans CJK SC"/>
        <family val="2"/>
      </rPr>
      <t xml:space="preserve">장비 목록 통일 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걸리는 점</t>
    </r>
    <r>
      <rPr>
        <sz val="10"/>
        <rFont val="Malgun Gothic"/>
        <family val="0"/>
        <charset val="1"/>
      </rPr>
      <t xml:space="preserve">' 3</t>
    </r>
    <r>
      <rPr>
        <sz val="10"/>
        <rFont val="Noto Sans CJK SC"/>
        <family val="2"/>
      </rPr>
      <t xml:space="preserve">번</t>
    </r>
  </si>
  <si>
    <t xml:space="preserve">장비 사양</t>
  </si>
  <si>
    <r>
      <rPr>
        <sz val="10"/>
        <rFont val="Noto Sans CJK SC"/>
        <family val="2"/>
      </rPr>
      <t xml:space="preserve">장비 사양 표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서보프레스 </t>
    </r>
    <r>
      <rPr>
        <sz val="10"/>
        <rFont val="Malgun Gothic"/>
        <family val="0"/>
        <charset val="1"/>
      </rPr>
      <t xml:space="preserve">2 kN</t>
    </r>
    <r>
      <rPr>
        <sz val="10"/>
        <rFont val="Noto Sans CJK SC"/>
        <family val="2"/>
      </rPr>
      <t xml:space="preserve">급만 확정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</si>
  <si>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10/13 </t>
    </r>
    <r>
      <rPr>
        <sz val="10"/>
        <rFont val="Noto Sans CJK SC"/>
        <family val="2"/>
      </rPr>
      <t xml:space="preserve">해석 보고서</t>
    </r>
  </si>
  <si>
    <r>
      <rPr>
        <sz val="10"/>
        <rFont val="Noto Sans CJK SC"/>
        <family val="2"/>
      </rPr>
      <t xml:space="preserve">로봇</t>
    </r>
    <r>
      <rPr>
        <sz val="10"/>
        <rFont val="Malgun Gothic"/>
        <family val="0"/>
        <charset val="1"/>
      </rPr>
      <t xml:space="preserve">·AMR·</t>
    </r>
    <r>
      <rPr>
        <sz val="10"/>
        <rFont val="Noto Sans CJK SC"/>
        <family val="2"/>
      </rPr>
      <t xml:space="preserve">컨베이어 기종</t>
    </r>
  </si>
  <si>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13</t>
    </r>
  </si>
  <si>
    <r>
      <rPr>
        <sz val="10"/>
        <rFont val="Malgun Gothic"/>
        <family val="0"/>
        <charset val="1"/>
      </rPr>
      <t xml:space="preserve">KPI </t>
    </r>
    <r>
      <rPr>
        <sz val="10"/>
        <rFont val="Noto Sans CJK SC"/>
        <family val="2"/>
      </rPr>
      <t xml:space="preserve">핵심성과지표</t>
    </r>
  </si>
  <si>
    <r>
      <rPr>
        <sz val="10"/>
        <rFont val="Malgun Gothic"/>
        <family val="0"/>
        <charset val="1"/>
      </rPr>
      <t xml:space="preserve">AS-IS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인원 </t>
    </r>
    <r>
      <rPr>
        <sz val="10"/>
        <rFont val="Malgun Gothic"/>
        <family val="0"/>
        <charset val="1"/>
      </rPr>
      <t xml:space="preserve">6</t>
    </r>
    <r>
      <rPr>
        <sz val="10"/>
        <rFont val="Noto Sans CJK SC"/>
        <family val="2"/>
      </rPr>
      <t xml:space="preserve">명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시간당 </t>
    </r>
    <r>
      <rPr>
        <sz val="10"/>
        <rFont val="Malgun Gothic"/>
        <family val="0"/>
        <charset val="1"/>
      </rPr>
      <t xml:space="preserve">12.5</t>
    </r>
    <r>
      <rPr>
        <sz val="10"/>
        <rFont val="Noto Sans CJK SC"/>
        <family val="2"/>
      </rPr>
      <t xml:space="preserve">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사이클타임 </t>
    </r>
    <r>
      <rPr>
        <sz val="10"/>
        <rFont val="Malgun Gothic"/>
        <family val="0"/>
        <charset val="1"/>
      </rPr>
      <t xml:space="preserve">289</t>
    </r>
    <r>
      <rPr>
        <sz val="10"/>
        <rFont val="Noto Sans CJK SC"/>
        <family val="2"/>
      </rPr>
      <t xml:space="preserve">초 </t>
    </r>
    <r>
      <rPr>
        <sz val="10"/>
        <rFont val="Malgun Gothic"/>
        <family val="0"/>
        <charset val="1"/>
      </rPr>
      <t xml:space="preserve">/ TO-BE 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: C/T </t>
    </r>
    <r>
      <rPr>
        <sz val="10"/>
        <rFont val="Noto Sans CJK SC"/>
        <family val="2"/>
      </rPr>
      <t xml:space="preserve">확정 후 </t>
    </r>
    <r>
      <rPr>
        <sz val="10"/>
        <rFont val="Malgun Gothic"/>
        <family val="0"/>
        <charset val="1"/>
      </rPr>
      <t xml:space="preserve">/ SMART </t>
    </r>
    <r>
      <rPr>
        <sz val="10"/>
        <rFont val="Noto Sans CJK SC"/>
        <family val="2"/>
      </rPr>
      <t xml:space="preserve">형식</t>
    </r>
  </si>
  <si>
    <r>
      <rPr>
        <sz val="10"/>
        <rFont val="Malgun Gothic"/>
        <family val="0"/>
        <charset val="1"/>
      </rPr>
      <t xml:space="preserve">AS-IS </t>
    </r>
    <r>
      <rPr>
        <sz val="10"/>
        <rFont val="Noto Sans CJK SC"/>
        <family val="2"/>
      </rPr>
      <t xml:space="preserve">보고서</t>
    </r>
    <r>
      <rPr>
        <sz val="10"/>
        <rFont val="Malgun Gothic"/>
        <family val="0"/>
        <charset val="1"/>
      </rPr>
      <t xml:space="preserve">, 10/29 SMART </t>
    </r>
    <r>
      <rPr>
        <sz val="10"/>
        <rFont val="Noto Sans CJK SC"/>
        <family val="2"/>
      </rPr>
      <t xml:space="preserve">지정</t>
    </r>
  </si>
  <si>
    <r>
      <rPr>
        <sz val="10"/>
        <rFont val="Malgun Gothic"/>
        <family val="0"/>
        <charset val="1"/>
      </rPr>
      <t xml:space="preserve">C/T </t>
    </r>
    <r>
      <rPr>
        <sz val="10"/>
        <rFont val="Noto Sans CJK SC"/>
        <family val="2"/>
      </rPr>
      <t xml:space="preserve">근거 확정 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걸리는 점</t>
    </r>
    <r>
      <rPr>
        <sz val="10"/>
        <rFont val="Malgun Gothic"/>
        <family val="0"/>
        <charset val="1"/>
      </rPr>
      <t xml:space="preserve">' 1·5</t>
    </r>
    <r>
      <rPr>
        <sz val="10"/>
        <rFont val="Noto Sans CJK SC"/>
        <family val="2"/>
      </rPr>
      <t xml:space="preserve">번</t>
    </r>
  </si>
  <si>
    <r>
      <rPr>
        <sz val="10"/>
        <rFont val="Malgun Gothic"/>
        <family val="0"/>
        <charset val="1"/>
      </rPr>
      <t xml:space="preserve">KPI </t>
    </r>
    <r>
      <rPr>
        <sz val="10"/>
        <rFont val="Noto Sans CJK SC"/>
        <family val="2"/>
      </rPr>
      <t xml:space="preserve">근거와 기대 효과</t>
    </r>
  </si>
  <si>
    <r>
      <rPr>
        <sz val="10"/>
        <rFont val="Malgun Gothic"/>
        <family val="0"/>
        <charset val="1"/>
      </rPr>
      <t xml:space="preserve">KPI </t>
    </r>
    <r>
      <rPr>
        <sz val="10"/>
        <rFont val="Noto Sans CJK SC"/>
        <family val="2"/>
      </rPr>
      <t xml:space="preserve">산출식과 기대 효과</t>
    </r>
  </si>
  <si>
    <r>
      <rPr>
        <sz val="10"/>
        <rFont val="Malgun Gothic"/>
        <family val="0"/>
        <charset val="1"/>
      </rPr>
      <t xml:space="preserve">27</t>
    </r>
    <r>
      <rPr>
        <sz val="10"/>
        <rFont val="Noto Sans CJK SC"/>
        <family val="2"/>
      </rPr>
      <t xml:space="preserve">쪽 확정 후</t>
    </r>
  </si>
  <si>
    <t xml:space="preserve">D</t>
  </si>
  <si>
    <r>
      <rPr>
        <sz val="10"/>
        <rFont val="Malgun Gothic"/>
        <family val="0"/>
        <charset val="1"/>
      </rPr>
      <t xml:space="preserve">D. </t>
    </r>
    <r>
      <rPr>
        <sz val="10"/>
        <rFont val="Noto Sans CJK SC"/>
        <family val="2"/>
      </rPr>
      <t xml:space="preserve">시뮬레이션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해석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간지 요약</t>
    </r>
    <r>
      <rPr>
        <sz val="10"/>
        <rFont val="Malgun Gothic"/>
        <family val="0"/>
        <charset val="1"/>
      </rPr>
      <t xml:space="preserve">)</t>
    </r>
  </si>
  <si>
    <t xml:space="preserve">해석으로 불량 기준을 먼저 정했다</t>
  </si>
  <si>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16</t>
    </r>
  </si>
  <si>
    <t xml:space="preserve">시뮬레이션 기획</t>
  </si>
  <si>
    <r>
      <rPr>
        <sz val="10"/>
        <rFont val="Malgun Gothic"/>
        <family val="0"/>
        <charset val="1"/>
      </rPr>
      <t xml:space="preserve">AS-IS</t>
    </r>
    <r>
      <rPr>
        <sz val="10"/>
        <rFont val="Noto Sans CJK SC"/>
        <family val="2"/>
      </rPr>
      <t xml:space="preserve">를 </t>
    </r>
    <r>
      <rPr>
        <sz val="10"/>
        <rFont val="Malgun Gothic"/>
        <family val="0"/>
        <charset val="1"/>
      </rPr>
      <t xml:space="preserve">DELMIA</t>
    </r>
    <r>
      <rPr>
        <sz val="10"/>
        <rFont val="Noto Sans CJK SC"/>
        <family val="2"/>
      </rPr>
      <t xml:space="preserve">로 구축</t>
    </r>
    <r>
      <rPr>
        <sz val="10"/>
        <rFont val="Malgun Gothic"/>
        <family val="0"/>
        <charset val="1"/>
      </rPr>
      <t xml:space="preserve">(In/Out Zone + </t>
    </r>
    <r>
      <rPr>
        <sz val="10"/>
        <rFont val="Noto Sans CJK SC"/>
        <family val="2"/>
      </rPr>
      <t xml:space="preserve">유저로직</t>
    </r>
    <r>
      <rPr>
        <sz val="10"/>
        <rFont val="Malgun Gothic"/>
        <family val="0"/>
        <charset val="1"/>
      </rPr>
      <t xml:space="preserve">) → TO-BE</t>
    </r>
    <r>
      <rPr>
        <sz val="10"/>
        <rFont val="Noto Sans CJK SC"/>
        <family val="2"/>
      </rPr>
      <t xml:space="preserve">와 비교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조건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불량 배출률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생산 수량 시나리오</t>
    </r>
    <r>
      <rPr>
        <sz val="10"/>
        <rFont val="Malgun Gothic"/>
        <family val="0"/>
        <charset val="1"/>
      </rPr>
      <t xml:space="preserve">, AMR </t>
    </r>
    <r>
      <rPr>
        <sz val="10"/>
        <rFont val="Noto Sans CJK SC"/>
        <family val="2"/>
      </rPr>
      <t xml:space="preserve">효율 </t>
    </r>
    <r>
      <rPr>
        <sz val="10"/>
        <rFont val="Malgun Gothic"/>
        <family val="0"/>
        <charset val="1"/>
      </rPr>
      <t xml:space="preserve">50~60%, </t>
    </r>
    <r>
      <rPr>
        <sz val="10"/>
        <rFont val="Noto Sans CJK SC"/>
        <family val="2"/>
      </rPr>
      <t xml:space="preserve">가동률 </t>
    </r>
    <r>
      <rPr>
        <sz val="10"/>
        <rFont val="Malgun Gothic"/>
        <family val="0"/>
        <charset val="1"/>
      </rPr>
      <t xml:space="preserve">100% </t>
    </r>
    <r>
      <rPr>
        <sz val="10"/>
        <rFont val="Noto Sans CJK SC"/>
        <family val="2"/>
      </rPr>
      <t xml:space="preserve">초과 시 로봇 추가</t>
    </r>
  </si>
  <si>
    <r>
      <rPr>
        <sz val="10"/>
        <rFont val="Malgun Gothic"/>
        <family val="0"/>
        <charset val="1"/>
      </rPr>
      <t xml:space="preserve">10/19 </t>
    </r>
    <r>
      <rPr>
        <sz val="10"/>
        <rFont val="Noto Sans CJK SC"/>
        <family val="2"/>
      </rPr>
      <t xml:space="preserve">강사 피드백</t>
    </r>
    <r>
      <rPr>
        <sz val="10"/>
        <rFont val="Malgun Gothic"/>
        <family val="0"/>
        <charset val="1"/>
      </rPr>
      <t xml:space="preserve">, 10/21~22 </t>
    </r>
    <r>
      <rPr>
        <sz val="10"/>
        <rFont val="Noto Sans CJK SC"/>
        <family val="2"/>
      </rPr>
      <t xml:space="preserve">작업</t>
    </r>
  </si>
  <si>
    <t xml:space="preserve">시뮬레이션 진행</t>
  </si>
  <si>
    <r>
      <rPr>
        <sz val="10"/>
        <rFont val="Noto Sans CJK SC"/>
        <family val="2"/>
      </rPr>
      <t xml:space="preserve">시뮬레이션 화면 캡처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영상 금지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</si>
  <si>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17</t>
    </r>
  </si>
  <si>
    <r>
      <rPr>
        <sz val="10"/>
        <rFont val="Noto Sans CJK SC"/>
        <family val="2"/>
      </rPr>
      <t xml:space="preserve">해석 </t>
    </r>
    <r>
      <rPr>
        <sz val="10"/>
        <rFont val="Malgun Gothic"/>
        <family val="0"/>
        <charset val="1"/>
      </rPr>
      <t xml:space="preserve">WHAT / WHY / HOW</t>
    </r>
  </si>
  <si>
    <r>
      <rPr>
        <sz val="10"/>
        <rFont val="Noto Sans CJK SC"/>
        <family val="2"/>
      </rPr>
      <t xml:space="preserve">베어링 압입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볼트 체결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팔레트 지그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무엇을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왜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어떻게</t>
    </r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</si>
  <si>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차 기획 해석 슬라이드</t>
    </r>
    <r>
      <rPr>
        <sz val="10"/>
        <rFont val="Malgun Gothic"/>
        <family val="0"/>
        <charset val="1"/>
      </rPr>
      <t xml:space="preserve">, 10/16 </t>
    </r>
    <r>
      <rPr>
        <sz val="10"/>
        <rFont val="Noto Sans CJK SC"/>
        <family val="2"/>
      </rPr>
      <t xml:space="preserve">피드백 정리</t>
    </r>
  </si>
  <si>
    <t xml:space="preserve">해석 ① 베어링 압입</t>
  </si>
  <si>
    <r>
      <rPr>
        <sz val="10"/>
        <rFont val="Malgun Gothic"/>
        <family val="0"/>
        <charset val="1"/>
      </rPr>
      <t xml:space="preserve">C-E6709, </t>
    </r>
    <r>
      <rPr>
        <sz val="10"/>
        <rFont val="Noto Sans CJK SC"/>
        <family val="2"/>
      </rPr>
      <t xml:space="preserve">지름 간섭량 </t>
    </r>
    <r>
      <rPr>
        <sz val="10"/>
        <rFont val="Malgun Gothic"/>
        <family val="0"/>
        <charset val="1"/>
      </rPr>
      <t xml:space="preserve">0.014 mm, </t>
    </r>
    <r>
      <rPr>
        <sz val="10"/>
        <rFont val="Noto Sans CJK SC"/>
        <family val="2"/>
      </rPr>
      <t xml:space="preserve">마찰계수 </t>
    </r>
    <r>
      <rPr>
        <sz val="10"/>
        <rFont val="Malgun Gothic"/>
        <family val="0"/>
        <charset val="1"/>
      </rPr>
      <t xml:space="preserve">0.15 → </t>
    </r>
    <r>
      <rPr>
        <sz val="10"/>
        <rFont val="Noto Sans CJK SC"/>
        <family val="2"/>
      </rPr>
      <t xml:space="preserve">최대 압입력 </t>
    </r>
    <r>
      <rPr>
        <sz val="10"/>
        <rFont val="Malgun Gothic"/>
        <family val="0"/>
        <charset val="1"/>
      </rPr>
      <t xml:space="preserve">581 N, </t>
    </r>
    <r>
      <rPr>
        <sz val="10"/>
        <rFont val="Noto Sans CJK SC"/>
        <family val="2"/>
      </rPr>
      <t xml:space="preserve">최대 응력 </t>
    </r>
    <r>
      <rPr>
        <sz val="10"/>
        <rFont val="Malgun Gothic"/>
        <family val="0"/>
        <charset val="1"/>
      </rPr>
      <t xml:space="preserve">225 MPa &lt; </t>
    </r>
    <r>
      <rPr>
        <sz val="10"/>
        <rFont val="Noto Sans CJK SC"/>
        <family val="2"/>
      </rPr>
      <t xml:space="preserve">항복 </t>
    </r>
    <r>
      <rPr>
        <sz val="10"/>
        <rFont val="Malgun Gothic"/>
        <family val="0"/>
        <charset val="1"/>
      </rPr>
      <t xml:space="preserve">276 MPa, </t>
    </r>
    <r>
      <rPr>
        <sz val="10"/>
        <rFont val="Noto Sans CJK SC"/>
        <family val="2"/>
      </rPr>
      <t xml:space="preserve">영구 변형 </t>
    </r>
    <r>
      <rPr>
        <sz val="10"/>
        <rFont val="Malgun Gothic"/>
        <family val="0"/>
        <charset val="1"/>
      </rPr>
      <t xml:space="preserve">0 → 2 kN</t>
    </r>
    <r>
      <rPr>
        <sz val="10"/>
        <rFont val="Noto Sans CJK SC"/>
        <family val="2"/>
      </rPr>
      <t xml:space="preserve">급 서보프레스</t>
    </r>
  </si>
  <si>
    <r>
      <rPr>
        <sz val="10"/>
        <rFont val="Noto Sans CJK SC"/>
        <family val="2"/>
      </rPr>
      <t xml:space="preserve">해석 ② 볼트 체결 </t>
    </r>
    <r>
      <rPr>
        <sz val="10"/>
        <rFont val="Malgun Gothic"/>
        <family val="0"/>
        <charset val="1"/>
      </rPr>
      <t xml:space="preserve">· ③ </t>
    </r>
    <r>
      <rPr>
        <sz val="10"/>
        <rFont val="Noto Sans CJK SC"/>
        <family val="2"/>
      </rPr>
      <t xml:space="preserve">팔레트 지그</t>
    </r>
  </si>
  <si>
    <r>
      <rPr>
        <sz val="10"/>
        <rFont val="Noto Sans CJK SC"/>
        <family val="2"/>
      </rPr>
      <t xml:space="preserve">② 볼트 예압 ≤ 항복강도 </t>
    </r>
    <r>
      <rPr>
        <sz val="10"/>
        <rFont val="Malgun Gothic"/>
        <family val="0"/>
        <charset val="1"/>
      </rPr>
      <t xml:space="preserve">70%, </t>
    </r>
    <r>
      <rPr>
        <sz val="10"/>
        <rFont val="Noto Sans CJK SC"/>
        <family val="2"/>
      </rPr>
      <t xml:space="preserve">적정 토크 범위 </t>
    </r>
    <r>
      <rPr>
        <sz val="10"/>
        <rFont val="Malgun Gothic"/>
        <family val="0"/>
        <charset val="1"/>
      </rPr>
      <t xml:space="preserve">/ ③ </t>
    </r>
    <r>
      <rPr>
        <sz val="10"/>
        <rFont val="Noto Sans CJK SC"/>
        <family val="2"/>
      </rPr>
      <t xml:space="preserve">필요 고정력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클램프 위치</t>
    </r>
  </si>
  <si>
    <r>
      <rPr>
        <sz val="10"/>
        <rFont val="Noto Sans CJK SC"/>
        <family val="2"/>
      </rPr>
      <t xml:space="preserve">볼트 체결 해석 시나리오</t>
    </r>
    <r>
      <rPr>
        <sz val="10"/>
        <rFont val="Malgun Gothic"/>
        <family val="0"/>
        <charset val="1"/>
      </rPr>
      <t xml:space="preserve">(10/02)</t>
    </r>
  </si>
  <si>
    <r>
      <rPr>
        <sz val="10"/>
        <rFont val="Malgun Gothic"/>
        <family val="0"/>
        <charset val="1"/>
      </rPr>
      <t xml:space="preserve">②·③ </t>
    </r>
    <r>
      <rPr>
        <sz val="10"/>
        <rFont val="Noto Sans CJK SC"/>
        <family val="2"/>
      </rPr>
      <t xml:space="preserve">결과가 나왔는지</t>
    </r>
  </si>
  <si>
    <t xml:space="preserve">해석 → 라인 연결표</t>
  </si>
  <si>
    <t xml:space="preserve">해석값 → 설비 세팅값 → 라인 안 검사 → 불합격 흐름 표</t>
  </si>
  <si>
    <r>
      <rPr>
        <sz val="10"/>
        <rFont val="Malgun Gothic"/>
        <family val="0"/>
        <charset val="1"/>
      </rPr>
      <t xml:space="preserve">10/16 </t>
    </r>
    <r>
      <rPr>
        <sz val="10"/>
        <rFont val="Noto Sans CJK SC"/>
        <family val="2"/>
      </rPr>
      <t xml:space="preserve">강사 피드백 적용 범위</t>
    </r>
  </si>
  <si>
    <r>
      <rPr>
        <sz val="10"/>
        <rFont val="Noto Sans CJK SC"/>
        <family val="2"/>
      </rPr>
      <t xml:space="preserve">베어링 압입 등이 몇 번 </t>
    </r>
    <r>
      <rPr>
        <sz val="10"/>
        <rFont val="Malgun Gothic"/>
        <family val="0"/>
        <charset val="1"/>
      </rPr>
      <t xml:space="preserve">OP</t>
    </r>
    <r>
      <rPr>
        <sz val="10"/>
        <rFont val="Noto Sans CJK SC"/>
        <family val="2"/>
      </rPr>
      <t xml:space="preserve">인지 </t>
    </r>
    <r>
      <rPr>
        <sz val="10"/>
        <rFont val="Malgun Gothic"/>
        <family val="0"/>
        <charset val="1"/>
      </rPr>
      <t xml:space="preserve">(01~09 → OP10~70)</t>
    </r>
  </si>
  <si>
    <t xml:space="preserve">정리</t>
  </si>
  <si>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18</t>
    </r>
  </si>
  <si>
    <t xml:space="preserve">어려움과 해결 방안</t>
  </si>
  <si>
    <r>
      <rPr>
        <sz val="10"/>
        <rFont val="Noto Sans CJK SC"/>
        <family val="2"/>
      </rPr>
      <t xml:space="preserve">① 레이아웃 레퍼런스 비공개 → 논문 계산식으로 역산 ② </t>
    </r>
    <r>
      <rPr>
        <sz val="10"/>
        <rFont val="Malgun Gothic"/>
        <family val="0"/>
        <charset val="1"/>
      </rPr>
      <t xml:space="preserve">DELMIA </t>
    </r>
    <r>
      <rPr>
        <sz val="10"/>
        <rFont val="Noto Sans CJK SC"/>
        <family val="2"/>
      </rPr>
      <t xml:space="preserve">조립 표현</t>
    </r>
    <r>
      <rPr>
        <sz val="10"/>
        <rFont val="Malgun Gothic"/>
        <family val="0"/>
        <charset val="1"/>
      </rPr>
      <t xml:space="preserve">: Transform </t>
    </r>
    <r>
      <rPr>
        <sz val="10"/>
        <rFont val="Noto Sans CJK SC"/>
        <family val="2"/>
      </rPr>
      <t xml:space="preserve">대신 </t>
    </r>
    <r>
      <rPr>
        <sz val="10"/>
        <rFont val="Malgun Gothic"/>
        <family val="0"/>
        <charset val="1"/>
      </rPr>
      <t xml:space="preserve">In/Out Zone + </t>
    </r>
    <r>
      <rPr>
        <sz val="10"/>
        <rFont val="Noto Sans CJK SC"/>
        <family val="2"/>
      </rPr>
      <t xml:space="preserve">유저로직 ③ 볼트 체결 자동화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논문으로 전용 도구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센서 필요 확인 ④ 강사 질문지로 해석 연결성 보완</t>
    </r>
  </si>
  <si>
    <r>
      <rPr>
        <sz val="10"/>
        <rFont val="Malgun Gothic"/>
        <family val="0"/>
        <charset val="1"/>
      </rPr>
      <t xml:space="preserve">10/19~23 </t>
    </r>
    <r>
      <rPr>
        <sz val="10"/>
        <rFont val="Noto Sans CJK SC"/>
        <family val="2"/>
      </rPr>
      <t xml:space="preserve">회의록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논문 요약</t>
    </r>
  </si>
  <si>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19</t>
    </r>
  </si>
  <si>
    <t xml:space="preserve">출처</t>
  </si>
  <si>
    <r>
      <rPr>
        <sz val="10"/>
        <rFont val="Malgun Gothic"/>
        <family val="0"/>
        <charset val="1"/>
      </rPr>
      <t xml:space="preserve">Bonsystems · </t>
    </r>
    <r>
      <rPr>
        <sz val="10"/>
        <rFont val="Noto Sans CJK SC"/>
        <family val="2"/>
      </rPr>
      <t xml:space="preserve">미스미 </t>
    </r>
    <r>
      <rPr>
        <sz val="10"/>
        <rFont val="Malgun Gothic"/>
        <family val="0"/>
        <charset val="1"/>
      </rPr>
      <t xml:space="preserve">· SKF · Qin(2026) </t>
    </r>
    <r>
      <rPr>
        <sz val="10"/>
        <rFont val="Noto Sans CJK SC"/>
        <family val="2"/>
      </rPr>
      <t xml:space="preserve">논문 </t>
    </r>
    <r>
      <rPr>
        <sz val="10"/>
        <rFont val="Malgun Gothic"/>
        <family val="0"/>
        <charset val="1"/>
      </rPr>
      <t xml:space="preserve">· 1</t>
    </r>
    <r>
      <rPr>
        <sz val="10"/>
        <rFont val="Noto Sans CJK SC"/>
        <family val="2"/>
      </rPr>
      <t xml:space="preserve">차 기획 기사 출처</t>
    </r>
  </si>
  <si>
    <t xml:space="preserve">프로젝트 문서</t>
  </si>
  <si>
    <t xml:space="preserve">각 장 하단 출처 칸도 함께</t>
  </si>
  <si>
    <t xml:space="preserve">질문 받겠습니다</t>
  </si>
  <si>
    <r>
      <rPr>
        <sz val="10"/>
        <rFont val="Noto Sans CJK SC"/>
        <family val="2"/>
      </rPr>
      <t xml:space="preserve">작성 완료 </t>
    </r>
    <r>
      <rPr>
        <sz val="10"/>
        <rFont val="Malgun Gothic"/>
        <family val="0"/>
        <charset val="1"/>
      </rPr>
      <t xml:space="preserve">(Team KAFKA)</t>
    </r>
  </si>
  <si>
    <t xml:space="preserve">완료</t>
  </si>
  <si>
    <t xml:space="preserve">번호</t>
  </si>
  <si>
    <t xml:space="preserve">관련 쪽</t>
  </si>
  <si>
    <t xml:space="preserve">질문</t>
  </si>
  <si>
    <t xml:space="preserve">왜 필요한가</t>
  </si>
  <si>
    <r>
      <rPr>
        <b val="true"/>
        <sz val="10"/>
        <color rgb="FFFFFFFF"/>
        <rFont val="Noto Sans CJK SC"/>
        <family val="2"/>
      </rPr>
      <t xml:space="preserve">답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팀 입력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</si>
  <si>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답한 사람</t>
  </si>
  <si>
    <t xml:space="preserve">5</t>
  </si>
  <si>
    <r>
      <rPr>
        <sz val="10"/>
        <rFont val="Noto Sans CJK SC"/>
        <family val="2"/>
      </rPr>
      <t xml:space="preserve">양식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총괄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모델링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레이아웃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관리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문서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10/20 </t>
    </r>
    <r>
      <rPr>
        <sz val="10"/>
        <rFont val="Noto Sans CJK SC"/>
        <family val="2"/>
      </rPr>
      <t xml:space="preserve">분업 인원을 어떻게 나눠 넣을까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</si>
  <si>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Malgun Gothic"/>
        <family val="0"/>
        <charset val="1"/>
      </rPr>
      <t xml:space="preserve">10/20 </t>
    </r>
    <r>
      <rPr>
        <sz val="10"/>
        <rFont val="Noto Sans CJK SC"/>
        <family val="2"/>
      </rPr>
      <t xml:space="preserve">분업은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갈래라 양식 칸과 맞지 않음</t>
    </r>
  </si>
  <si>
    <t xml:space="preserve">6</t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</si>
  <si>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차 역할에서 </t>
    </r>
    <r>
      <rPr>
        <sz val="10"/>
        <rFont val="Malgun Gothic"/>
        <family val="0"/>
        <charset val="1"/>
      </rPr>
      <t xml:space="preserve">10/20 </t>
    </r>
    <r>
      <rPr>
        <sz val="10"/>
        <rFont val="Noto Sans CJK SC"/>
        <family val="2"/>
      </rPr>
      <t xml:space="preserve">분업으로 바꾼 사유는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</si>
  <si>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변경 사유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가 요구 항목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회의록에 사유 기록 없음</t>
    </r>
  </si>
  <si>
    <t xml:space="preserve">10</t>
  </si>
  <si>
    <r>
      <rPr>
        <sz val="10"/>
        <rFont val="Malgun Gothic"/>
        <family val="0"/>
        <charset val="1"/>
      </rPr>
      <t xml:space="preserve">ENOVIA</t>
    </r>
    <r>
      <rPr>
        <sz val="10"/>
        <rFont val="Noto Sans CJK SC"/>
        <family val="2"/>
      </rPr>
      <t xml:space="preserve">를 실제로 쓰고 있나</t>
    </r>
    <r>
      <rPr>
        <sz val="10"/>
        <rFont val="Malgun Gothic"/>
        <family val="0"/>
        <charset val="1"/>
      </rPr>
      <t xml:space="preserve">? (</t>
    </r>
    <r>
      <rPr>
        <sz val="10"/>
        <rFont val="Noto Sans CJK SC"/>
        <family val="2"/>
      </rPr>
      <t xml:space="preserve">카탈로그 </t>
    </r>
    <r>
      <rPr>
        <sz val="10"/>
        <rFont val="Malgun Gothic"/>
        <family val="0"/>
        <charset val="1"/>
      </rPr>
      <t xml:space="preserve">KAFKA_00_Catalog</t>
    </r>
    <r>
      <rPr>
        <sz val="10"/>
        <rFont val="Noto Sans CJK SC"/>
        <family val="2"/>
      </rPr>
      <t xml:space="preserve">를 </t>
    </r>
    <r>
      <rPr>
        <sz val="10"/>
        <rFont val="Malgun Gothic"/>
        <family val="0"/>
        <charset val="1"/>
      </rPr>
      <t xml:space="preserve">ENOVIA</t>
    </r>
    <r>
      <rPr>
        <sz val="10"/>
        <rFont val="Noto Sans CJK SC"/>
        <family val="2"/>
      </rPr>
      <t xml:space="preserve">로 볼지</t>
    </r>
    <r>
      <rPr>
        <sz val="10"/>
        <rFont val="Malgun Gothic"/>
        <family val="0"/>
        <charset val="1"/>
      </rPr>
      <t xml:space="preserve">)</t>
    </r>
  </si>
  <si>
    <t xml:space="preserve">쓰지 않는 앱을 적으면 질의에서 막힘</t>
  </si>
  <si>
    <t xml:space="preserve">12</t>
  </si>
  <si>
    <r>
      <rPr>
        <sz val="10"/>
        <rFont val="Malgun Gothic"/>
        <family val="0"/>
        <charset val="1"/>
      </rPr>
      <t xml:space="preserve">10/28 </t>
    </r>
    <r>
      <rPr>
        <sz val="10"/>
        <rFont val="Noto Sans CJK SC"/>
        <family val="2"/>
      </rPr>
      <t xml:space="preserve">설비 모델링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롤러 피더 </t>
    </r>
    <r>
      <rPr>
        <sz val="10"/>
        <rFont val="Malgun Gothic"/>
        <family val="0"/>
        <charset val="1"/>
      </rPr>
      <t xml:space="preserve">· EOAT · </t>
    </r>
    <r>
      <rPr>
        <sz val="10"/>
        <rFont val="Noto Sans CJK SC"/>
        <family val="2"/>
      </rPr>
      <t xml:space="preserve">서보프레스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은 누가 무엇을 맡았나</t>
    </r>
    <r>
      <rPr>
        <sz val="10"/>
        <rFont val="Malgun Gothic"/>
        <family val="0"/>
        <charset val="1"/>
      </rPr>
      <t xml:space="preserve">?</t>
    </r>
  </si>
  <si>
    <t xml:space="preserve">모델링 분배 장의 핵심 내용</t>
  </si>
  <si>
    <t xml:space="preserve">15</t>
  </si>
  <si>
    <r>
      <rPr>
        <sz val="10"/>
        <rFont val="Malgun Gothic"/>
        <family val="0"/>
        <charset val="1"/>
      </rPr>
      <t xml:space="preserve">Cloud </t>
    </r>
    <r>
      <rPr>
        <sz val="10"/>
        <rFont val="Noto Sans CJK SC"/>
        <family val="2"/>
      </rPr>
      <t xml:space="preserve">콘텐츠 캡처는 누가 언제 넣나</t>
    </r>
    <r>
      <rPr>
        <sz val="10"/>
        <rFont val="Malgun Gothic"/>
        <family val="0"/>
        <charset val="1"/>
      </rPr>
      <t xml:space="preserve">?</t>
    </r>
  </si>
  <si>
    <t xml:space="preserve">글은 채울 수 있으나 캡처는 팀 화면 필요</t>
  </si>
  <si>
    <t xml:space="preserve">17</t>
  </si>
  <si>
    <r>
      <rPr>
        <sz val="10"/>
        <rFont val="Noto Sans CJK SC"/>
        <family val="2"/>
      </rPr>
      <t xml:space="preserve">메카니즘 설정 </t>
    </r>
    <r>
      <rPr>
        <sz val="10"/>
        <rFont val="Malgun Gothic"/>
        <family val="0"/>
        <charset val="1"/>
      </rPr>
      <t xml:space="preserve">App </t>
    </r>
    <r>
      <rPr>
        <sz val="10"/>
        <rFont val="Noto Sans CJK SC"/>
        <family val="2"/>
      </rPr>
      <t xml:space="preserve">제안안</t>
    </r>
    <r>
      <rPr>
        <sz val="10"/>
        <rFont val="Malgun Gothic"/>
        <family val="0"/>
        <charset val="1"/>
      </rPr>
      <t xml:space="preserve">(CATIA Mechanical Systems Design / DELMIA Robot Simulation)</t>
    </r>
    <r>
      <rPr>
        <sz val="10"/>
        <rFont val="Noto Sans CJK SC"/>
        <family val="2"/>
      </rPr>
      <t xml:space="preserve">을 승인할까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</si>
  <si>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메모 </t>
    </r>
    <r>
      <rPr>
        <sz val="10"/>
        <rFont val="Malgun Gothic"/>
        <family val="0"/>
        <charset val="1"/>
      </rPr>
      <t xml:space="preserve">9</t>
    </r>
    <r>
      <rPr>
        <sz val="10"/>
        <rFont val="Noto Sans CJK SC"/>
        <family val="2"/>
      </rPr>
      <t xml:space="preserve">번이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미정</t>
    </r>
    <r>
      <rPr>
        <sz val="10"/>
        <rFont val="Malgun Gothic"/>
        <family val="0"/>
        <charset val="1"/>
      </rPr>
      <t xml:space="preserve">'</t>
    </r>
  </si>
  <si>
    <t xml:space="preserve">22</t>
  </si>
  <si>
    <r>
      <rPr>
        <sz val="10"/>
        <rFont val="Malgun Gothic"/>
        <family val="0"/>
        <charset val="1"/>
      </rPr>
      <t xml:space="preserve">TO-BE </t>
    </r>
    <r>
      <rPr>
        <sz val="10"/>
        <rFont val="Noto Sans CJK SC"/>
        <family val="2"/>
      </rPr>
      <t xml:space="preserve">흐름이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입고 대기 → </t>
    </r>
    <r>
      <rPr>
        <sz val="10"/>
        <rFont val="Malgun Gothic"/>
        <family val="0"/>
        <charset val="1"/>
      </rPr>
      <t xml:space="preserve">AMR → OP10~70 → </t>
    </r>
    <r>
      <rPr>
        <sz val="10"/>
        <rFont val="Noto Sans CJK SC"/>
        <family val="2"/>
      </rPr>
      <t xml:space="preserve">출하 대기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수작업 셀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개는 버퍼로 공급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 맞나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</si>
  <si>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Malgun Gothic"/>
        <family val="0"/>
        <charset val="1"/>
      </rPr>
      <t xml:space="preserve">In/Out </t>
    </r>
    <r>
      <rPr>
        <sz val="10"/>
        <rFont val="Noto Sans CJK SC"/>
        <family val="2"/>
      </rPr>
      <t xml:space="preserve">설정이 필수</t>
    </r>
  </si>
  <si>
    <t xml:space="preserve">34</t>
  </si>
  <si>
    <r>
      <rPr>
        <sz val="10"/>
        <rFont val="Noto Sans CJK SC"/>
        <family val="2"/>
      </rPr>
      <t xml:space="preserve">볼트 체결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팔레트 지그 해석 결과가 나왔나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</si>
  <si>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결과 없으면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계획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으로 표기</t>
    </r>
  </si>
  <si>
    <t xml:space="preserve">35</t>
  </si>
  <si>
    <r>
      <rPr>
        <sz val="10"/>
        <rFont val="Noto Sans CJK SC"/>
        <family val="2"/>
      </rPr>
      <t xml:space="preserve">베어링 압입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볼트 체결은 </t>
    </r>
    <r>
      <rPr>
        <sz val="10"/>
        <rFont val="Malgun Gothic"/>
        <family val="0"/>
        <charset val="1"/>
      </rPr>
      <t xml:space="preserve">OP10~70 </t>
    </r>
    <r>
      <rPr>
        <sz val="10"/>
        <rFont val="Noto Sans CJK SC"/>
        <family val="2"/>
      </rPr>
      <t xml:space="preserve">중 몇 번인가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</si>
  <si>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공정 번호 체계가 </t>
    </r>
    <r>
      <rPr>
        <sz val="10"/>
        <rFont val="Malgun Gothic"/>
        <family val="0"/>
        <charset val="1"/>
      </rPr>
      <t xml:space="preserve">01~09</t>
    </r>
    <r>
      <rPr>
        <sz val="10"/>
        <rFont val="Noto Sans CJK SC"/>
        <family val="2"/>
      </rPr>
      <t xml:space="preserve">에서 </t>
    </r>
    <r>
      <rPr>
        <sz val="10"/>
        <rFont val="Malgun Gothic"/>
        <family val="0"/>
        <charset val="1"/>
      </rPr>
      <t xml:space="preserve">OP10~70</t>
    </r>
    <r>
      <rPr>
        <sz val="10"/>
        <rFont val="Noto Sans CJK SC"/>
        <family val="2"/>
      </rPr>
      <t xml:space="preserve">으로 바뀜</t>
    </r>
  </si>
  <si>
    <t xml:space="preserve">19·24</t>
  </si>
  <si>
    <r>
      <rPr>
        <sz val="10"/>
        <rFont val="Malgun Gothic"/>
        <family val="0"/>
        <charset val="1"/>
      </rPr>
      <t xml:space="preserve">AS-IS </t>
    </r>
    <r>
      <rPr>
        <sz val="10"/>
        <rFont val="Noto Sans CJK SC"/>
        <family val="2"/>
      </rPr>
      <t xml:space="preserve">시간 기준을 보고서 값과 구상도 값 중 무엇으로 할까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</si>
  <si>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걸리는 점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시트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번</t>
    </r>
  </si>
  <si>
    <t xml:space="preserve">24·27</t>
  </si>
  <si>
    <r>
      <rPr>
        <sz val="10"/>
        <rFont val="Noto Sans CJK SC"/>
        <family val="2"/>
      </rPr>
      <t xml:space="preserve">목표 </t>
    </r>
    <r>
      <rPr>
        <sz val="10"/>
        <rFont val="Malgun Gothic"/>
        <family val="0"/>
        <charset val="1"/>
      </rPr>
      <t xml:space="preserve">C/T 15</t>
    </r>
    <r>
      <rPr>
        <sz val="10"/>
        <rFont val="Noto Sans CJK SC"/>
        <family val="2"/>
      </rPr>
      <t xml:space="preserve">초의 근거는</t>
    </r>
    <r>
      <rPr>
        <sz val="10"/>
        <rFont val="Malgun Gothic"/>
        <family val="0"/>
        <charset val="1"/>
      </rPr>
      <t xml:space="preserve">? </t>
    </r>
    <r>
      <rPr>
        <sz val="10"/>
        <rFont val="Noto Sans CJK SC"/>
        <family val="2"/>
      </rPr>
      <t xml:space="preserve">수작업 셀 병렬 수는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</si>
  <si>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걸리는 점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시트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번</t>
    </r>
  </si>
  <si>
    <t xml:space="preserve">25</t>
  </si>
  <si>
    <r>
      <rPr>
        <sz val="10"/>
        <rFont val="Noto Sans CJK SC"/>
        <family val="2"/>
      </rPr>
      <t xml:space="preserve">장비 목록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협동로봇</t>
    </r>
    <r>
      <rPr>
        <sz val="10"/>
        <rFont val="Malgun Gothic"/>
        <family val="0"/>
        <charset val="1"/>
      </rPr>
      <t xml:space="preserve">·AGV(</t>
    </r>
    <r>
      <rPr>
        <sz val="10"/>
        <rFont val="Noto Sans CJK SC"/>
        <family val="2"/>
      </rPr>
      <t xml:space="preserve">메모 </t>
    </r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번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인가</t>
    </r>
    <r>
      <rPr>
        <sz val="10"/>
        <rFont val="Malgun Gothic"/>
        <family val="0"/>
        <charset val="1"/>
      </rPr>
      <t xml:space="preserve">, SCARA·AMR(TO-BE </t>
    </r>
    <r>
      <rPr>
        <sz val="10"/>
        <rFont val="Noto Sans CJK SC"/>
        <family val="2"/>
      </rPr>
      <t xml:space="preserve">구성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인가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</si>
  <si>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걸리는 점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시트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번</t>
    </r>
  </si>
  <si>
    <r>
      <rPr>
        <b val="true"/>
        <sz val="12"/>
        <color rgb="FF10233D"/>
        <rFont val="Malgun Gothic"/>
        <family val="0"/>
        <charset val="1"/>
      </rPr>
      <t xml:space="preserve">1. </t>
    </r>
    <r>
      <rPr>
        <b val="true"/>
        <sz val="12"/>
        <color rgb="FF10233D"/>
        <rFont val="Noto Sans CJK SC"/>
        <family val="2"/>
      </rPr>
      <t xml:space="preserve">목표 </t>
    </r>
    <r>
      <rPr>
        <b val="true"/>
        <sz val="12"/>
        <color rgb="FF10233D"/>
        <rFont val="Malgun Gothic"/>
        <family val="0"/>
        <charset val="1"/>
      </rPr>
      <t xml:space="preserve">C/T 15</t>
    </r>
    <r>
      <rPr>
        <b val="true"/>
        <sz val="12"/>
        <color rgb="FF10233D"/>
        <rFont val="Noto Sans CJK SC"/>
        <family val="2"/>
      </rPr>
      <t xml:space="preserve">초가 수작업 셀</t>
    </r>
    <r>
      <rPr>
        <b val="true"/>
        <sz val="12"/>
        <color rgb="FF10233D"/>
        <rFont val="Malgun Gothic"/>
        <family val="0"/>
        <charset val="1"/>
      </rPr>
      <t xml:space="preserve">·AS-IS</t>
    </r>
    <r>
      <rPr>
        <b val="true"/>
        <sz val="12"/>
        <color rgb="FF10233D"/>
        <rFont val="Noto Sans CJK SC"/>
        <family val="2"/>
      </rPr>
      <t xml:space="preserve">와 맞는가</t>
    </r>
  </si>
  <si>
    <r>
      <rPr>
        <sz val="10"/>
        <color rgb="FF5A6B80"/>
        <rFont val="Noto Sans CJK SC"/>
        <family val="2"/>
      </rPr>
      <t xml:space="preserve">파란 숫자는 입력값</t>
    </r>
    <r>
      <rPr>
        <sz val="10"/>
        <color rgb="FF5A6B80"/>
        <rFont val="Malgun Gothic"/>
        <family val="0"/>
        <charset val="1"/>
      </rPr>
      <t xml:space="preserve">(</t>
    </r>
    <r>
      <rPr>
        <sz val="10"/>
        <color rgb="FF5A6B80"/>
        <rFont val="Noto Sans CJK SC"/>
        <family val="2"/>
      </rPr>
      <t xml:space="preserve">바꾸면 아래가 다시 계산됨</t>
    </r>
    <r>
      <rPr>
        <sz val="10"/>
        <color rgb="FF5A6B80"/>
        <rFont val="Malgun Gothic"/>
        <family val="0"/>
        <charset val="1"/>
      </rPr>
      <t xml:space="preserve">), </t>
    </r>
    <r>
      <rPr>
        <sz val="10"/>
        <color rgb="FF5A6B80"/>
        <rFont val="Noto Sans CJK SC"/>
        <family val="2"/>
      </rPr>
      <t xml:space="preserve">검은 숫자는 수식</t>
    </r>
    <r>
      <rPr>
        <sz val="10"/>
        <color rgb="FF5A6B8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</si>
  <si>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목표 </t>
    </r>
    <r>
      <rPr>
        <sz val="10"/>
        <rFont val="Malgun Gothic"/>
        <family val="0"/>
        <charset val="1"/>
      </rPr>
      <t xml:space="preserve">C/T (</t>
    </r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대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</si>
  <si>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24</t>
    </r>
    <r>
      <rPr>
        <sz val="10"/>
        <rFont val="Noto Sans CJK SC"/>
        <family val="2"/>
      </rPr>
      <t xml:space="preserve">쪽 슬라이드 값</t>
    </r>
  </si>
  <si>
    <r>
      <rPr>
        <sz val="10"/>
        <rFont val="Noto Sans CJK SC"/>
        <family val="2"/>
      </rPr>
      <t xml:space="preserve">수작업 셀 </t>
    </r>
    <r>
      <rPr>
        <sz val="10"/>
        <rFont val="Malgun Gothic"/>
        <family val="0"/>
        <charset val="1"/>
      </rPr>
      <t xml:space="preserve">Table 1 </t>
    </r>
    <r>
      <rPr>
        <sz val="10"/>
        <rFont val="Noto Sans CJK SC"/>
        <family val="2"/>
      </rPr>
      <t xml:space="preserve">하우징 결합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</si>
  <si>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24</t>
    </r>
    <r>
      <rPr>
        <sz val="10"/>
        <rFont val="Noto Sans CJK SC"/>
        <family val="2"/>
      </rPr>
      <t xml:space="preserve">쪽 슬라이드 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구상도 공정 </t>
    </r>
    <r>
      <rPr>
        <sz val="10"/>
        <rFont val="Malgun Gothic"/>
        <family val="0"/>
        <charset val="1"/>
      </rPr>
      <t xml:space="preserve">A</t>
    </r>
    <r>
      <rPr>
        <sz val="10"/>
        <rFont val="Noto Sans CJK SC"/>
        <family val="2"/>
      </rPr>
      <t xml:space="preserve">와 같음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</si>
  <si>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수작업 셀 </t>
    </r>
    <r>
      <rPr>
        <sz val="10"/>
        <rFont val="Malgun Gothic"/>
        <family val="0"/>
        <charset val="1"/>
      </rPr>
      <t xml:space="preserve">Table 2 </t>
    </r>
    <r>
      <rPr>
        <sz val="10"/>
        <rFont val="Noto Sans CJK SC"/>
        <family val="2"/>
      </rPr>
      <t xml:space="preserve">편심축 조립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</si>
  <si>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AS-IS </t>
    </r>
    <r>
      <rPr>
        <sz val="10"/>
        <rFont val="Noto Sans CJK SC"/>
        <family val="2"/>
      </rPr>
      <t xml:space="preserve">사이클타임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</si>
  <si>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AS-IS </t>
    </r>
    <r>
      <rPr>
        <sz val="10"/>
        <rFont val="Noto Sans CJK SC"/>
        <family val="2"/>
      </rPr>
      <t xml:space="preserve">보고서 기준 병목 공정 </t>
    </r>
    <r>
      <rPr>
        <sz val="10"/>
        <rFont val="Malgun Gothic"/>
        <family val="0"/>
        <charset val="1"/>
      </rPr>
      <t xml:space="preserve">C</t>
    </r>
  </si>
  <si>
    <r>
      <rPr>
        <sz val="10"/>
        <rFont val="Malgun Gothic"/>
        <family val="0"/>
        <charset val="1"/>
      </rPr>
      <t xml:space="preserve">AS-IS </t>
    </r>
    <r>
      <rPr>
        <sz val="10"/>
        <rFont val="Noto Sans CJK SC"/>
        <family val="2"/>
      </rPr>
      <t xml:space="preserve">인원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명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</si>
  <si>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조립 </t>
    </r>
    <r>
      <rPr>
        <sz val="10"/>
        <rFont val="Malgun Gothic"/>
        <family val="0"/>
        <charset val="1"/>
      </rPr>
      <t xml:space="preserve">5 + </t>
    </r>
    <r>
      <rPr>
        <sz val="10"/>
        <rFont val="Noto Sans CJK SC"/>
        <family val="2"/>
      </rPr>
      <t xml:space="preserve">운반 </t>
    </r>
    <r>
      <rPr>
        <sz val="10"/>
        <rFont val="Malgun Gothic"/>
        <family val="0"/>
        <charset val="1"/>
      </rPr>
      <t xml:space="preserve">1 (AS-IS </t>
    </r>
    <r>
      <rPr>
        <sz val="10"/>
        <rFont val="Noto Sans CJK SC"/>
        <family val="2"/>
      </rPr>
      <t xml:space="preserve">보고서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</si>
  <si>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TO-BE </t>
    </r>
    <r>
      <rPr>
        <sz val="10"/>
        <rFont val="Noto Sans CJK SC"/>
        <family val="2"/>
      </rPr>
      <t xml:space="preserve">예상 인원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명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</si>
  <si>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39</t>
    </r>
    <r>
      <rPr>
        <sz val="10"/>
        <rFont val="Noto Sans CJK SC"/>
        <family val="2"/>
      </rPr>
      <t xml:space="preserve">쪽 메모 </t>
    </r>
    <r>
      <rPr>
        <sz val="10"/>
        <rFont val="Malgun Gothic"/>
        <family val="0"/>
        <charset val="1"/>
      </rPr>
      <t xml:space="preserve">14</t>
    </r>
    <r>
      <rPr>
        <sz val="10"/>
        <rFont val="Noto Sans CJK SC"/>
        <family val="2"/>
      </rPr>
      <t xml:space="preserve">번 </t>
    </r>
    <r>
      <rPr>
        <sz val="10"/>
        <rFont val="Malgun Gothic"/>
        <family val="0"/>
        <charset val="1"/>
      </rPr>
      <t xml:space="preserve">'2</t>
    </r>
    <r>
      <rPr>
        <sz val="10"/>
        <rFont val="Noto Sans CJK SC"/>
        <family val="2"/>
      </rPr>
      <t xml:space="preserve">명 예상</t>
    </r>
    <r>
      <rPr>
        <sz val="10"/>
        <rFont val="Malgun Gothic"/>
        <family val="0"/>
        <charset val="1"/>
      </rPr>
      <t xml:space="preserve">'</t>
    </r>
  </si>
  <si>
    <r>
      <rPr>
        <sz val="10"/>
        <rFont val="Noto Sans CJK SC"/>
        <family val="2"/>
      </rPr>
      <t xml:space="preserve">메인 라인 시간당 생산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대</t>
    </r>
    <r>
      <rPr>
        <sz val="10"/>
        <rFont val="Malgun Gothic"/>
        <family val="0"/>
        <charset val="1"/>
      </rPr>
      <t xml:space="preserve">/h)</t>
    </r>
  </si>
  <si>
    <t xml:space="preserve">라인이 요구하는 공급량</t>
  </si>
  <si>
    <r>
      <rPr>
        <sz val="10"/>
        <rFont val="Malgun Gothic"/>
        <family val="0"/>
        <charset val="1"/>
      </rPr>
      <t xml:space="preserve">Table 1 </t>
    </r>
    <r>
      <rPr>
        <sz val="10"/>
        <rFont val="Noto Sans CJK SC"/>
        <family val="2"/>
      </rPr>
      <t xml:space="preserve">셀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개 시간당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대</t>
    </r>
    <r>
      <rPr>
        <sz val="10"/>
        <rFont val="Malgun Gothic"/>
        <family val="0"/>
        <charset val="1"/>
      </rPr>
      <t xml:space="preserve">/h)</t>
    </r>
  </si>
  <si>
    <r>
      <rPr>
        <sz val="10"/>
        <rFont val="Malgun Gothic"/>
        <family val="0"/>
        <charset val="1"/>
      </rPr>
      <t xml:space="preserve">Table 1 </t>
    </r>
    <r>
      <rPr>
        <sz val="10"/>
        <rFont val="Noto Sans CJK SC"/>
        <family val="2"/>
      </rPr>
      <t xml:space="preserve">필요 병렬 셀 수</t>
    </r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</si>
  <si>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개면 라인이 멈춤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이만큼 병렬로 둬야 </t>
    </r>
    <r>
      <rPr>
        <sz val="10"/>
        <rFont val="Malgun Gothic"/>
        <family val="0"/>
        <charset val="1"/>
      </rPr>
      <t xml:space="preserve">C/T</t>
    </r>
    <r>
      <rPr>
        <sz val="10"/>
        <rFont val="Noto Sans CJK SC"/>
        <family val="2"/>
      </rPr>
      <t xml:space="preserve">가 성립</t>
    </r>
  </si>
  <si>
    <r>
      <rPr>
        <sz val="10"/>
        <rFont val="Malgun Gothic"/>
        <family val="0"/>
        <charset val="1"/>
      </rPr>
      <t xml:space="preserve">Table 2 </t>
    </r>
    <r>
      <rPr>
        <sz val="10"/>
        <rFont val="Noto Sans CJK SC"/>
        <family val="2"/>
      </rPr>
      <t xml:space="preserve">필요 병렬 셀 수</t>
    </r>
  </si>
  <si>
    <r>
      <rPr>
        <sz val="10"/>
        <rFont val="Malgun Gothic"/>
        <family val="0"/>
        <charset val="1"/>
      </rPr>
      <t xml:space="preserve">AS-IS </t>
    </r>
    <r>
      <rPr>
        <sz val="10"/>
        <rFont val="Noto Sans CJK SC"/>
        <family val="2"/>
      </rPr>
      <t xml:space="preserve">시간당 생산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대</t>
    </r>
    <r>
      <rPr>
        <sz val="10"/>
        <rFont val="Malgun Gothic"/>
        <family val="0"/>
        <charset val="1"/>
      </rPr>
      <t xml:space="preserve">/h)</t>
    </r>
  </si>
  <si>
    <r>
      <rPr>
        <sz val="10"/>
        <rFont val="Noto Sans CJK SC"/>
        <family val="2"/>
      </rPr>
      <t xml:space="preserve">생산량 개선 배수 </t>
    </r>
    <r>
      <rPr>
        <sz val="10"/>
        <rFont val="Malgun Gothic"/>
        <family val="0"/>
        <charset val="1"/>
      </rPr>
      <t xml:space="preserve">(TO-BE ÷ AS-IS)</t>
    </r>
  </si>
  <si>
    <r>
      <rPr>
        <sz val="10"/>
        <rFont val="Noto Sans CJK SC"/>
        <family val="2"/>
      </rPr>
      <t xml:space="preserve">강사가 경고한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억지스러운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수치로 읽힐 위험</t>
    </r>
  </si>
  <si>
    <t xml:space="preserve">인원 감소율</t>
  </si>
  <si>
    <t xml:space="preserve">판정</t>
  </si>
  <si>
    <r>
      <rPr>
        <b val="true"/>
        <sz val="12"/>
        <color rgb="FF10233D"/>
        <rFont val="Malgun Gothic"/>
        <family val="0"/>
        <charset val="1"/>
      </rPr>
      <t xml:space="preserve">2. AS-IS </t>
    </r>
    <r>
      <rPr>
        <b val="true"/>
        <sz val="12"/>
        <color rgb="FF10233D"/>
        <rFont val="Noto Sans CJK SC"/>
        <family val="2"/>
      </rPr>
      <t xml:space="preserve">시간 기준이 두 개</t>
    </r>
  </si>
  <si>
    <t xml:space="preserve">공정</t>
  </si>
  <si>
    <r>
      <rPr>
        <b val="true"/>
        <sz val="10"/>
        <color rgb="FFFFFFFF"/>
        <rFont val="Noto Sans CJK SC"/>
        <family val="2"/>
      </rPr>
      <t xml:space="preserve">보고서 기준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</si>
  <si>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구상도 기준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</si>
  <si>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비고</t>
  </si>
  <si>
    <r>
      <rPr>
        <sz val="10"/>
        <color rgb="FF000000"/>
        <rFont val="Malgun Gothic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입력측 하우징 결합</t>
    </r>
  </si>
  <si>
    <r>
      <rPr>
        <sz val="10"/>
        <color rgb="FF000000"/>
        <rFont val="Malgun Gothic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쪽 </t>
    </r>
    <r>
      <rPr>
        <sz val="10"/>
        <color rgb="FF000000"/>
        <rFont val="Malgun Gothic"/>
        <family val="0"/>
        <charset val="1"/>
      </rPr>
      <t xml:space="preserve">Table 1(85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Malgun Gothic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은 구상도 기준</t>
    </r>
  </si>
  <si>
    <r>
      <rPr>
        <sz val="10"/>
        <color rgb="FF000000"/>
        <rFont val="Malgun Gothic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입력축 조립</t>
    </r>
  </si>
  <si>
    <r>
      <rPr>
        <sz val="10"/>
        <color rgb="FF000000"/>
        <rFont val="Malgun Gothic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출력 캐리어 조립</t>
    </r>
  </si>
  <si>
    <r>
      <rPr>
        <sz val="10"/>
        <color rgb="FF000000"/>
        <rFont val="Malgun Gothic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쪽에 넣을 </t>
    </r>
    <r>
      <rPr>
        <sz val="10"/>
        <color rgb="FF000000"/>
        <rFont val="Malgun Gothic"/>
        <family val="0"/>
        <charset val="1"/>
      </rPr>
      <t xml:space="preserve">289</t>
    </r>
    <r>
      <rPr>
        <sz val="10"/>
        <color rgb="FF000000"/>
        <rFont val="Noto Sans CJK SC"/>
        <family val="2"/>
      </rPr>
      <t xml:space="preserve">초는 보고서 기준</t>
    </r>
  </si>
  <si>
    <r>
      <rPr>
        <sz val="10"/>
        <color rgb="FF000000"/>
        <rFont val="Malgun Gothic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메인 조립</t>
    </r>
  </si>
  <si>
    <r>
      <rPr>
        <sz val="10"/>
        <color rgb="FF000000"/>
        <rFont val="Malgun Gothic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마감 및 검사</t>
    </r>
  </si>
  <si>
    <r>
      <rPr>
        <b val="true"/>
        <sz val="10"/>
        <rFont val="Noto Sans CJK SC"/>
        <family val="2"/>
      </rPr>
      <t xml:space="preserve">총 작업시간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초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</si>
  <si>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병목 </t>
    </r>
    <r>
      <rPr>
        <b val="true"/>
        <sz val="10"/>
        <rFont val="Malgun Gothic"/>
        <family val="0"/>
        <charset val="1"/>
      </rPr>
      <t xml:space="preserve">= </t>
    </r>
    <r>
      <rPr>
        <b val="true"/>
        <sz val="10"/>
        <rFont val="Noto Sans CJK SC"/>
        <family val="2"/>
      </rPr>
      <t xml:space="preserve">사이클타임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초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</si>
  <si>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시간당 생산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대</t>
    </r>
    <r>
      <rPr>
        <b val="true"/>
        <sz val="10"/>
        <rFont val="Malgun Gothic"/>
        <family val="0"/>
        <charset val="1"/>
      </rPr>
      <t xml:space="preserve">/h)</t>
    </r>
  </si>
  <si>
    <r>
      <rPr>
        <sz val="10"/>
        <rFont val="Noto Sans CJK SC"/>
        <family val="2"/>
      </rPr>
      <t xml:space="preserve">같은 </t>
    </r>
    <r>
      <rPr>
        <sz val="10"/>
        <rFont val="Malgun Gothic"/>
        <family val="0"/>
        <charset val="1"/>
      </rPr>
      <t xml:space="preserve">AS-IS</t>
    </r>
    <r>
      <rPr>
        <sz val="10"/>
        <rFont val="Noto Sans CJK SC"/>
        <family val="2"/>
      </rPr>
      <t xml:space="preserve">인데 시간당 생산이 두 배 넘게 달라짐 → 하나로 확정 필요</t>
    </r>
  </si>
  <si>
    <r>
      <rPr>
        <b val="true"/>
        <sz val="12"/>
        <color rgb="FF10233D"/>
        <rFont val="Malgun Gothic"/>
        <family val="0"/>
        <charset val="1"/>
      </rPr>
      <t xml:space="preserve">3~5. </t>
    </r>
    <r>
      <rPr>
        <b val="true"/>
        <sz val="12"/>
        <color rgb="FF10233D"/>
        <rFont val="Noto Sans CJK SC"/>
        <family val="2"/>
      </rPr>
      <t xml:space="preserve">그 밖에 걸리는 점</t>
    </r>
  </si>
  <si>
    <r>
      <rPr>
        <b val="true"/>
        <sz val="10"/>
        <rFont val="Malgun Gothic"/>
        <family val="0"/>
        <charset val="1"/>
      </rPr>
      <t xml:space="preserve">3. </t>
    </r>
    <r>
      <rPr>
        <b val="true"/>
        <sz val="10"/>
        <rFont val="Noto Sans CJK SC"/>
        <family val="2"/>
      </rPr>
      <t xml:space="preserve">장비 목록 불일치</t>
    </r>
  </si>
  <si>
    <r>
      <rPr>
        <sz val="10"/>
        <rFont val="Malgun Gothic"/>
        <family val="0"/>
        <charset val="1"/>
      </rPr>
      <t xml:space="preserve">39</t>
    </r>
    <r>
      <rPr>
        <sz val="10"/>
        <rFont val="Noto Sans CJK SC"/>
        <family val="2"/>
      </rPr>
      <t xml:space="preserve">쪽 메모 </t>
    </r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번은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협동로봇</t>
    </r>
    <r>
      <rPr>
        <sz val="10"/>
        <rFont val="Malgun Gothic"/>
        <family val="0"/>
        <charset val="1"/>
      </rPr>
      <t xml:space="preserve">, AGV', TO-BE </t>
    </r>
    <r>
      <rPr>
        <sz val="10"/>
        <rFont val="Noto Sans CJK SC"/>
        <family val="2"/>
      </rPr>
      <t xml:space="preserve">레이아웃은 </t>
    </r>
    <r>
      <rPr>
        <sz val="10"/>
        <rFont val="Malgun Gothic"/>
        <family val="0"/>
        <charset val="1"/>
      </rPr>
      <t xml:space="preserve">'SCARA 4</t>
    </r>
    <r>
      <rPr>
        <sz val="10"/>
        <rFont val="Noto Sans CJK SC"/>
        <family val="2"/>
      </rPr>
      <t xml:space="preserve">축</t>
    </r>
    <r>
      <rPr>
        <sz val="10"/>
        <rFont val="Malgun Gothic"/>
        <family val="0"/>
        <charset val="1"/>
      </rPr>
      <t xml:space="preserve">, AMR'. 25</t>
    </r>
    <r>
      <rPr>
        <sz val="10"/>
        <rFont val="Noto Sans CJK SC"/>
        <family val="2"/>
      </rPr>
      <t xml:space="preserve">쪽 작성 전 통일</t>
    </r>
  </si>
  <si>
    <r>
      <rPr>
        <b val="true"/>
        <sz val="10"/>
        <rFont val="Malgun Gothic"/>
        <family val="0"/>
        <charset val="1"/>
      </rPr>
      <t xml:space="preserve">4. 24</t>
    </r>
    <r>
      <rPr>
        <b val="true"/>
        <sz val="10"/>
        <rFont val="Noto Sans CJK SC"/>
        <family val="2"/>
      </rPr>
      <t xml:space="preserve">쪽 제목 겹침</t>
    </r>
  </si>
  <si>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필수 </t>
    </r>
    <r>
      <rPr>
        <sz val="10"/>
        <rFont val="Malgun Gothic"/>
        <family val="0"/>
        <charset val="1"/>
      </rPr>
      <t xml:space="preserve">14' </t>
    </r>
    <r>
      <rPr>
        <sz val="10"/>
        <rFont val="Noto Sans CJK SC"/>
        <family val="2"/>
      </rPr>
      <t xml:space="preserve">제목 텍스트 두 개가 겹쳐 보임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제목 정리</t>
    </r>
  </si>
  <si>
    <r>
      <rPr>
        <b val="true"/>
        <sz val="10"/>
        <rFont val="Malgun Gothic"/>
        <family val="0"/>
        <charset val="1"/>
      </rPr>
      <t xml:space="preserve">5. KPI SMART </t>
    </r>
    <r>
      <rPr>
        <b val="true"/>
        <sz val="10"/>
        <rFont val="Noto Sans CJK SC"/>
        <family val="2"/>
      </rPr>
      <t xml:space="preserve">필수 </t>
    </r>
    <r>
      <rPr>
        <b val="true"/>
        <sz val="10"/>
        <rFont val="Malgun Gothic"/>
        <family val="0"/>
        <charset val="1"/>
      </rPr>
      <t xml:space="preserve">(10/29)</t>
    </r>
  </si>
  <si>
    <r>
      <rPr>
        <sz val="10"/>
        <rFont val="Malgun Gothic"/>
        <family val="0"/>
        <charset val="1"/>
      </rPr>
      <t xml:space="preserve">27</t>
    </r>
    <r>
      <rPr>
        <sz val="10"/>
        <rFont val="Noto Sans CJK SC"/>
        <family val="2"/>
      </rPr>
      <t xml:space="preserve">쪽은 </t>
    </r>
    <r>
      <rPr>
        <sz val="10"/>
        <rFont val="Malgun Gothic"/>
        <family val="0"/>
        <charset val="1"/>
      </rPr>
      <t xml:space="preserve">'AS-IS → TO-BE </t>
    </r>
    <r>
      <rPr>
        <sz val="10"/>
        <rFont val="Noto Sans CJK SC"/>
        <family val="2"/>
      </rPr>
      <t xml:space="preserve">수치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측정 방법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달성 시점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까지</t>
    </r>
    <r>
      <rPr>
        <sz val="10"/>
        <rFont val="Malgun Gothic"/>
        <family val="0"/>
        <charset val="1"/>
      </rPr>
      <t xml:space="preserve">. 1</t>
    </r>
    <r>
      <rPr>
        <sz val="10"/>
        <rFont val="Noto Sans CJK SC"/>
        <family val="2"/>
      </rPr>
      <t xml:space="preserve">번이 먼저 풀려야 함</t>
    </r>
  </si>
  <si>
    <r>
      <rPr>
        <sz val="9"/>
        <color rgb="FF5A6B80"/>
        <rFont val="Noto Sans CJK SC"/>
        <family val="2"/>
      </rPr>
      <t xml:space="preserve">출처</t>
    </r>
    <r>
      <rPr>
        <sz val="9"/>
        <color rgb="FF5A6B80"/>
        <rFont val="Malgun Gothic"/>
        <family val="0"/>
        <charset val="1"/>
      </rPr>
      <t xml:space="preserve">: 24</t>
    </r>
    <r>
      <rPr>
        <sz val="9"/>
        <color rgb="FF5A6B80"/>
        <rFont val="Noto Sans CJK SC"/>
        <family val="2"/>
      </rPr>
      <t xml:space="preserve">쪽 슬라이드</t>
    </r>
    <r>
      <rPr>
        <sz val="9"/>
        <color rgb="FF5A6B80"/>
        <rFont val="Malgun Gothic"/>
        <family val="0"/>
        <charset val="1"/>
      </rPr>
      <t xml:space="preserve">, 39</t>
    </r>
    <r>
      <rPr>
        <sz val="9"/>
        <color rgb="FF5A6B80"/>
        <rFont val="Noto Sans CJK SC"/>
        <family val="2"/>
      </rPr>
      <t xml:space="preserve">쪽 메모</t>
    </r>
    <r>
      <rPr>
        <sz val="9"/>
        <color rgb="FF5A6B80"/>
        <rFont val="Malgun Gothic"/>
        <family val="0"/>
        <charset val="1"/>
      </rPr>
      <t xml:space="preserve">, AS-IS </t>
    </r>
    <r>
      <rPr>
        <sz val="9"/>
        <color rgb="FF5A6B80"/>
        <rFont val="Noto Sans CJK SC"/>
        <family val="2"/>
      </rPr>
      <t xml:space="preserve">보고서 정합성 검토</t>
    </r>
    <r>
      <rPr>
        <sz val="9"/>
        <color rgb="FF5A6B80"/>
        <rFont val="Malgun Gothic"/>
        <family val="0"/>
        <charset val="1"/>
      </rPr>
      <t xml:space="preserve">(10/19), 10/23 </t>
    </r>
    <r>
      <rPr>
        <sz val="9"/>
        <color rgb="FF5A6B80"/>
        <rFont val="Noto Sans CJK SC"/>
        <family val="2"/>
      </rPr>
      <t xml:space="preserve">회의록</t>
    </r>
    <r>
      <rPr>
        <sz val="9"/>
        <color rgb="FF5A6B80"/>
        <rFont val="Malgun Gothic"/>
        <family val="0"/>
        <charset val="1"/>
      </rPr>
      <t xml:space="preserve">(</t>
    </r>
    <r>
      <rPr>
        <sz val="9"/>
        <color rgb="FF5A6B80"/>
        <rFont val="Noto Sans CJK SC"/>
        <family val="2"/>
      </rPr>
      <t xml:space="preserve">공정 시간 두 기준</t>
    </r>
    <r>
      <rPr>
        <sz val="9"/>
        <color rgb="FF5A6B80"/>
        <rFont val="Malgun Gothic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</si>
</sst>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"/>
    <numFmt numFmtId="167" formatCode="0"/>
    <numFmt numFmtId="168" formatCode="0.0\배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Malgun Gothic"/>
      <family val="0"/>
      <charset val="1"/>
    </font>
    <font>
      <b val="true"/>
      <sz val="14"/>
      <name val="Noto Sans CJK SC"/>
      <family val="2"/>
    </font>
    <font>
      <sz val="10"/>
      <color rgb="FF5A6B80"/>
      <name val="Noto Sans CJK SC"/>
      <family val="2"/>
    </font>
    <font>
      <sz val="10"/>
      <color rgb="FF5A6B80"/>
      <name val="Malgun Gothic"/>
      <family val="0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Malgun Gothic"/>
      <family val="0"/>
      <charset val="1"/>
    </font>
    <font>
      <b val="true"/>
      <sz val="10"/>
      <name val="Noto Sans CJK SC"/>
      <family val="2"/>
    </font>
    <font>
      <b val="true"/>
      <sz val="10"/>
      <name val="Malgun Gothic"/>
      <family val="0"/>
      <charset val="1"/>
    </font>
    <font>
      <b val="true"/>
      <sz val="10"/>
      <color rgb="FFFFFFFF"/>
      <name val="Malgun Gothic"/>
      <family val="0"/>
      <charset val="1"/>
    </font>
    <font>
      <sz val="10"/>
      <name val="Arial"/>
      <family val="2"/>
    </font>
    <font>
      <b val="true"/>
      <sz val="12"/>
      <color rgb="FF10233D"/>
      <name val="Malgun Gothic"/>
      <family val="0"/>
      <charset val="1"/>
    </font>
    <font>
      <b val="true"/>
      <sz val="12"/>
      <color rgb="FF10233D"/>
      <name val="Noto Sans CJK SC"/>
      <family val="2"/>
    </font>
    <font>
      <sz val="10"/>
      <color rgb="FF0000FF"/>
      <name val="Malgun Gothic"/>
      <family val="0"/>
      <charset val="1"/>
    </font>
    <font>
      <sz val="10"/>
      <color rgb="FF000000"/>
      <name val="Malgun Gothic"/>
      <family val="0"/>
      <charset val="1"/>
    </font>
    <font>
      <sz val="10"/>
      <color rgb="FF000000"/>
      <name val="Noto Sans CJK SC"/>
      <family val="2"/>
    </font>
    <font>
      <sz val="9"/>
      <color rgb="FF5A6B80"/>
      <name val="Noto Sans CJK SC"/>
      <family val="2"/>
    </font>
    <font>
      <sz val="9"/>
      <color rgb="FF5A6B80"/>
      <name val="Malgun Gothic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0233D"/>
        <bgColor rgb="FF333333"/>
      </patternFill>
    </fill>
    <fill>
      <patternFill patternType="solid">
        <fgColor rgb="FFFFF2B3"/>
        <bgColor rgb="FFFFF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2CF"/>
      </left>
      <right style="thin">
        <color rgb="FFB7C2CF"/>
      </right>
      <top style="thin">
        <color rgb="FFB7C2CF"/>
      </top>
      <bottom style="thin">
        <color rgb="FFB7C2CF"/>
      </bottom>
      <diagonal/>
    </border>
    <border diagonalUp="false" diagonalDown="false">
      <left style="thin">
        <color rgb="FFB7C2CF"/>
      </left>
      <right/>
      <top style="thin">
        <color rgb="FFB7C2CF"/>
      </top>
      <bottom style="thin">
        <color rgb="FFB7C2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023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8F7"/>
          <bgColor rgb="FF000000"/>
        </patternFill>
      </fill>
    </dxf>
    <dxf>
      <fill>
        <patternFill patternType="solid">
          <fgColor rgb="FFDDF1E1"/>
          <bgColor rgb="FF000000"/>
        </patternFill>
      </fill>
    </dxf>
    <dxf>
      <fill>
        <patternFill patternType="solid">
          <fgColor rgb="FFE6E9EE"/>
          <bgColor rgb="FF000000"/>
        </patternFill>
      </fill>
    </dxf>
    <dxf>
      <fill>
        <patternFill patternType="solid">
          <fgColor rgb="FFFBE0DD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FFF2B3"/>
          <bgColor rgb="FF000000"/>
        </patternFill>
      </fill>
    </dxf>
    <dxf>
      <fill>
        <patternFill>
          <bgColor rgb="FFDDF1E1"/>
        </patternFill>
      </fill>
    </dxf>
    <dxf>
      <fill>
        <patternFill>
          <bgColor rgb="FFFFF4D6"/>
        </patternFill>
      </fill>
    </dxf>
    <dxf>
      <fill>
        <patternFill>
          <bgColor rgb="FFE6E9EE"/>
        </patternFill>
      </fill>
    </dxf>
    <dxf>
      <fill>
        <patternFill>
          <bgColor rgb="FFFBE0DD"/>
        </patternFill>
      </fill>
    </dxf>
    <dxf>
      <fill>
        <patternFill>
          <bgColor rgb="FFDCE8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2CF"/>
      <rgbColor rgb="FF808080"/>
      <rgbColor rgb="FF9999FF"/>
      <rgbColor rgb="FF993366"/>
      <rgbColor rgb="FFFFF4D6"/>
      <rgbColor rgb="FFDCE8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9EE"/>
      <rgbColor rgb="FFDDF1E1"/>
      <rgbColor rgb="FFFFF2B3"/>
      <rgbColor rgb="FF99CCFF"/>
      <rgbColor rgb="FFFF99CC"/>
      <rgbColor rgb="FFCC99FF"/>
      <rgbColor rgb="FFFBE0DD"/>
      <rgbColor rgb="FF3366FF"/>
      <rgbColor rgb="FF33CCCC"/>
      <rgbColor rgb="FF99CC00"/>
      <rgbColor rgb="FFFFCC00"/>
      <rgbColor rgb="FFFF9900"/>
      <rgbColor rgb="FFFF6600"/>
      <rgbColor rgb="FF5A6B80"/>
      <rgbColor rgb="FF969696"/>
      <rgbColor rgb="FF1023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7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n">
        <f aca="false">COUNTIF('슬라이드별 계획'!$E:$E,A5)</f>
        <v>18</v>
      </c>
      <c r="C5" s="4" t="s">
        <v>6</v>
      </c>
    </row>
    <row r="6" customFormat="false" ht="15" hidden="false" customHeight="false" outlineLevel="0" collapsed="false">
      <c r="A6" s="4" t="s">
        <v>7</v>
      </c>
      <c r="B6" s="4" t="n">
        <f aca="false">COUNTIF('슬라이드별 계획'!$E:$E,A6)</f>
        <v>12</v>
      </c>
      <c r="C6" s="4" t="s">
        <v>8</v>
      </c>
    </row>
    <row r="7" customFormat="false" ht="15" hidden="false" customHeight="false" outlineLevel="0" collapsed="false">
      <c r="A7" s="4" t="s">
        <v>9</v>
      </c>
      <c r="B7" s="4" t="n">
        <f aca="false">COUNTIF('슬라이드별 계획'!$E:$E,A7)</f>
        <v>6</v>
      </c>
      <c r="C7" s="4" t="s">
        <v>10</v>
      </c>
    </row>
    <row r="8" customFormat="false" ht="15" hidden="false" customHeight="false" outlineLevel="0" collapsed="false">
      <c r="A8" s="4" t="s">
        <v>11</v>
      </c>
      <c r="B8" s="4" t="n">
        <f aca="false">COUNTIF('슬라이드별 계획'!$E:$E,A8)</f>
        <v>1</v>
      </c>
      <c r="C8" s="4" t="s">
        <v>12</v>
      </c>
    </row>
    <row r="9" customFormat="false" ht="15" hidden="false" customHeight="false" outlineLevel="0" collapsed="false">
      <c r="A9" s="4" t="s">
        <v>13</v>
      </c>
      <c r="B9" s="4" t="n">
        <f aca="false">COUNTIF('슬라이드별 계획'!$E:$E,A9)</f>
        <v>1</v>
      </c>
      <c r="C9" s="4" t="s">
        <v>14</v>
      </c>
    </row>
    <row r="10" customFormat="false" ht="15" hidden="false" customHeight="false" outlineLevel="0" collapsed="false">
      <c r="A10" s="5" t="s">
        <v>15</v>
      </c>
      <c r="B10" s="5" t="n">
        <f aca="false">SUM(B5:B9)</f>
        <v>38</v>
      </c>
    </row>
    <row r="11" customFormat="false" ht="15" hidden="false" customHeight="false" outlineLevel="0" collapsed="false">
      <c r="A11" s="5" t="s">
        <v>16</v>
      </c>
      <c r="B11" s="5" t="n">
        <f aca="false">COUNTIF('슬라이드별 계획'!$K:$K,"완료")</f>
        <v>1</v>
      </c>
    </row>
    <row r="12" customFormat="false" ht="15" hidden="false" customHeight="false" outlineLevel="0" collapsed="false">
      <c r="A12" s="5" t="s">
        <v>17</v>
      </c>
      <c r="B12" s="6" t="n">
        <f aca="false">IFERROR(B11/B10,0)</f>
        <v>0.0263157894736842</v>
      </c>
    </row>
    <row r="14" customFormat="false" ht="15" hidden="false" customHeight="false" outlineLevel="0" collapsed="false">
      <c r="A14" s="7" t="s">
        <v>18</v>
      </c>
    </row>
    <row r="15" customFormat="false" ht="30" hidden="false" customHeight="true" outlineLevel="0" collapsed="false">
      <c r="A15" s="8" t="s">
        <v>19</v>
      </c>
      <c r="B15" s="8"/>
      <c r="C15" s="8"/>
    </row>
    <row r="16" customFormat="false" ht="30" hidden="false" customHeight="true" outlineLevel="0" collapsed="false">
      <c r="A16" s="8" t="s">
        <v>20</v>
      </c>
      <c r="B16" s="8"/>
      <c r="C16" s="8"/>
    </row>
  </sheetData>
  <mergeCells count="2">
    <mergeCell ref="A15:C15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52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20"/>
  </cols>
  <sheetData>
    <row r="1" customFormat="false" ht="29.85" hidden="false" customHeight="false" outlineLevel="0" collapsed="false">
      <c r="A1" s="9" t="s">
        <v>21</v>
      </c>
      <c r="B1" s="9" t="s">
        <v>22</v>
      </c>
      <c r="C1" s="9" t="s">
        <v>23</v>
      </c>
      <c r="D1" s="9" t="s">
        <v>24</v>
      </c>
      <c r="E1" s="9" t="s">
        <v>2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9" t="s">
        <v>31</v>
      </c>
    </row>
    <row r="2" customFormat="false" ht="48" hidden="false" customHeight="true" outlineLevel="0" collapsed="false">
      <c r="A2" s="10" t="n">
        <v>1</v>
      </c>
      <c r="B2" s="11" t="s">
        <v>32</v>
      </c>
      <c r="C2" s="10" t="s">
        <v>33</v>
      </c>
      <c r="D2" s="4" t="s">
        <v>34</v>
      </c>
      <c r="E2" s="11" t="s">
        <v>5</v>
      </c>
      <c r="F2" s="4" t="s">
        <v>35</v>
      </c>
      <c r="G2" s="4" t="s">
        <v>36</v>
      </c>
      <c r="H2" s="4" t="s">
        <v>37</v>
      </c>
      <c r="I2" s="12"/>
      <c r="J2" s="12"/>
      <c r="K2" s="13" t="s">
        <v>38</v>
      </c>
      <c r="L2" s="14"/>
    </row>
    <row r="3" customFormat="false" ht="48" hidden="false" customHeight="true" outlineLevel="0" collapsed="false">
      <c r="A3" s="11" t="n">
        <v>2</v>
      </c>
      <c r="B3" s="11" t="s">
        <v>39</v>
      </c>
      <c r="C3" s="10" t="s">
        <v>33</v>
      </c>
      <c r="D3" s="4" t="s">
        <v>39</v>
      </c>
      <c r="E3" s="11" t="s">
        <v>5</v>
      </c>
      <c r="F3" s="4" t="s">
        <v>40</v>
      </c>
      <c r="G3" s="4" t="s">
        <v>41</v>
      </c>
      <c r="H3" s="4"/>
      <c r="I3" s="12"/>
      <c r="J3" s="12"/>
      <c r="K3" s="13" t="s">
        <v>38</v>
      </c>
      <c r="L3" s="14"/>
    </row>
    <row r="4" customFormat="false" ht="48" hidden="false" customHeight="true" outlineLevel="0" collapsed="false">
      <c r="A4" s="11" t="n">
        <v>3</v>
      </c>
      <c r="B4" s="10" t="s">
        <v>42</v>
      </c>
      <c r="C4" s="10" t="s">
        <v>33</v>
      </c>
      <c r="D4" s="15" t="s">
        <v>43</v>
      </c>
      <c r="E4" s="11" t="s">
        <v>5</v>
      </c>
      <c r="F4" s="4" t="s">
        <v>44</v>
      </c>
      <c r="G4" s="4" t="s">
        <v>45</v>
      </c>
      <c r="H4" s="4"/>
      <c r="I4" s="12"/>
      <c r="J4" s="12"/>
      <c r="K4" s="13" t="s">
        <v>38</v>
      </c>
      <c r="L4" s="14"/>
    </row>
    <row r="5" customFormat="false" ht="48" hidden="false" customHeight="true" outlineLevel="0" collapsed="false">
      <c r="A5" s="11" t="n">
        <v>4</v>
      </c>
      <c r="B5" s="10" t="s">
        <v>42</v>
      </c>
      <c r="C5" s="11" t="s">
        <v>46</v>
      </c>
      <c r="D5" s="4" t="s">
        <v>47</v>
      </c>
      <c r="E5" s="11" t="s">
        <v>5</v>
      </c>
      <c r="F5" s="15" t="s">
        <v>48</v>
      </c>
      <c r="G5" s="15" t="s">
        <v>49</v>
      </c>
      <c r="H5" s="4" t="s">
        <v>50</v>
      </c>
      <c r="I5" s="12"/>
      <c r="J5" s="12"/>
      <c r="K5" s="13" t="s">
        <v>38</v>
      </c>
      <c r="L5" s="14"/>
    </row>
    <row r="6" customFormat="false" ht="48" hidden="false" customHeight="true" outlineLevel="0" collapsed="false">
      <c r="A6" s="11" t="n">
        <v>5</v>
      </c>
      <c r="B6" s="10" t="s">
        <v>42</v>
      </c>
      <c r="C6" s="11" t="s">
        <v>51</v>
      </c>
      <c r="D6" s="4" t="s">
        <v>52</v>
      </c>
      <c r="E6" s="11" t="s">
        <v>7</v>
      </c>
      <c r="F6" s="15" t="s">
        <v>53</v>
      </c>
      <c r="G6" s="15" t="s">
        <v>54</v>
      </c>
      <c r="H6" s="4" t="s">
        <v>55</v>
      </c>
      <c r="I6" s="12"/>
      <c r="J6" s="12"/>
      <c r="K6" s="13" t="s">
        <v>38</v>
      </c>
      <c r="L6" s="14"/>
    </row>
    <row r="7" customFormat="false" ht="48" hidden="false" customHeight="true" outlineLevel="0" collapsed="false">
      <c r="A7" s="11" t="n">
        <v>6</v>
      </c>
      <c r="B7" s="10" t="s">
        <v>42</v>
      </c>
      <c r="C7" s="11" t="s">
        <v>51</v>
      </c>
      <c r="D7" s="4" t="s">
        <v>56</v>
      </c>
      <c r="E7" s="11" t="s">
        <v>7</v>
      </c>
      <c r="F7" s="15" t="s">
        <v>57</v>
      </c>
      <c r="G7" s="15" t="s">
        <v>58</v>
      </c>
      <c r="H7" s="4" t="s">
        <v>59</v>
      </c>
      <c r="I7" s="12"/>
      <c r="J7" s="12"/>
      <c r="K7" s="13" t="s">
        <v>38</v>
      </c>
      <c r="L7" s="14"/>
    </row>
    <row r="8" customFormat="false" ht="48" hidden="false" customHeight="true" outlineLevel="0" collapsed="false">
      <c r="A8" s="11" t="n">
        <v>7</v>
      </c>
      <c r="B8" s="10" t="s">
        <v>42</v>
      </c>
      <c r="C8" s="11" t="s">
        <v>60</v>
      </c>
      <c r="D8" s="4" t="s">
        <v>61</v>
      </c>
      <c r="E8" s="11" t="s">
        <v>5</v>
      </c>
      <c r="F8" s="4" t="s">
        <v>62</v>
      </c>
      <c r="G8" s="4" t="s">
        <v>63</v>
      </c>
      <c r="H8" s="4"/>
      <c r="I8" s="12"/>
      <c r="J8" s="12"/>
      <c r="K8" s="13" t="s">
        <v>38</v>
      </c>
      <c r="L8" s="14"/>
    </row>
    <row r="9" customFormat="false" ht="48" hidden="false" customHeight="true" outlineLevel="0" collapsed="false">
      <c r="A9" s="11" t="n">
        <v>8</v>
      </c>
      <c r="B9" s="10" t="s">
        <v>42</v>
      </c>
      <c r="C9" s="11" t="s">
        <v>64</v>
      </c>
      <c r="D9" s="4" t="s">
        <v>65</v>
      </c>
      <c r="E9" s="11" t="s">
        <v>5</v>
      </c>
      <c r="F9" s="4" t="s">
        <v>66</v>
      </c>
      <c r="G9" s="4" t="s">
        <v>67</v>
      </c>
      <c r="H9" s="15" t="s">
        <v>68</v>
      </c>
      <c r="I9" s="12"/>
      <c r="J9" s="12"/>
      <c r="K9" s="13" t="s">
        <v>38</v>
      </c>
      <c r="L9" s="14"/>
    </row>
    <row r="10" customFormat="false" ht="48" hidden="false" customHeight="true" outlineLevel="0" collapsed="false">
      <c r="A10" s="11" t="n">
        <v>9</v>
      </c>
      <c r="B10" s="10" t="s">
        <v>69</v>
      </c>
      <c r="C10" s="10" t="s">
        <v>33</v>
      </c>
      <c r="D10" s="15" t="s">
        <v>70</v>
      </c>
      <c r="E10" s="11" t="s">
        <v>5</v>
      </c>
      <c r="F10" s="4" t="s">
        <v>71</v>
      </c>
      <c r="G10" s="4"/>
      <c r="H10" s="4"/>
      <c r="I10" s="12"/>
      <c r="J10" s="12"/>
      <c r="K10" s="13" t="s">
        <v>38</v>
      </c>
      <c r="L10" s="14"/>
    </row>
    <row r="11" customFormat="false" ht="48" hidden="false" customHeight="true" outlineLevel="0" collapsed="false">
      <c r="A11" s="11" t="n">
        <v>10</v>
      </c>
      <c r="B11" s="10" t="s">
        <v>69</v>
      </c>
      <c r="C11" s="11" t="s">
        <v>72</v>
      </c>
      <c r="D11" s="4" t="s">
        <v>73</v>
      </c>
      <c r="E11" s="11" t="s">
        <v>7</v>
      </c>
      <c r="F11" s="15" t="s">
        <v>74</v>
      </c>
      <c r="G11" s="15" t="s">
        <v>75</v>
      </c>
      <c r="H11" s="15" t="s">
        <v>76</v>
      </c>
      <c r="I11" s="12"/>
      <c r="J11" s="12"/>
      <c r="K11" s="13" t="s">
        <v>38</v>
      </c>
      <c r="L11" s="14"/>
    </row>
    <row r="12" customFormat="false" ht="48" hidden="false" customHeight="true" outlineLevel="0" collapsed="false">
      <c r="A12" s="11" t="n">
        <v>11</v>
      </c>
      <c r="B12" s="10" t="s">
        <v>69</v>
      </c>
      <c r="C12" s="11" t="s">
        <v>72</v>
      </c>
      <c r="D12" s="15" t="s">
        <v>77</v>
      </c>
      <c r="E12" s="11" t="s">
        <v>9</v>
      </c>
      <c r="F12" s="4" t="s">
        <v>78</v>
      </c>
      <c r="G12" s="4"/>
      <c r="H12" s="4" t="s">
        <v>79</v>
      </c>
      <c r="I12" s="12"/>
      <c r="J12" s="12"/>
      <c r="K12" s="13" t="s">
        <v>38</v>
      </c>
      <c r="L12" s="14"/>
    </row>
    <row r="13" customFormat="false" ht="48" hidden="false" customHeight="true" outlineLevel="0" collapsed="false">
      <c r="A13" s="11" t="n">
        <v>12</v>
      </c>
      <c r="B13" s="10" t="s">
        <v>69</v>
      </c>
      <c r="C13" s="11" t="s">
        <v>80</v>
      </c>
      <c r="D13" s="4" t="s">
        <v>81</v>
      </c>
      <c r="E13" s="11" t="s">
        <v>7</v>
      </c>
      <c r="F13" s="4" t="s">
        <v>82</v>
      </c>
      <c r="G13" s="15" t="s">
        <v>83</v>
      </c>
      <c r="H13" s="4" t="s">
        <v>84</v>
      </c>
      <c r="I13" s="12"/>
      <c r="J13" s="12"/>
      <c r="K13" s="13" t="s">
        <v>38</v>
      </c>
      <c r="L13" s="14"/>
    </row>
    <row r="14" customFormat="false" ht="48" hidden="false" customHeight="true" outlineLevel="0" collapsed="false">
      <c r="A14" s="11" t="n">
        <v>13</v>
      </c>
      <c r="B14" s="10" t="s">
        <v>69</v>
      </c>
      <c r="C14" s="11" t="s">
        <v>85</v>
      </c>
      <c r="D14" s="4" t="s">
        <v>86</v>
      </c>
      <c r="E14" s="11" t="s">
        <v>5</v>
      </c>
      <c r="F14" s="4" t="s">
        <v>87</v>
      </c>
      <c r="G14" s="4" t="s">
        <v>88</v>
      </c>
      <c r="H14" s="4"/>
      <c r="I14" s="12"/>
      <c r="J14" s="12"/>
      <c r="K14" s="13" t="s">
        <v>38</v>
      </c>
      <c r="L14" s="14"/>
    </row>
    <row r="15" customFormat="false" ht="48" hidden="false" customHeight="true" outlineLevel="0" collapsed="false">
      <c r="A15" s="11" t="n">
        <v>14</v>
      </c>
      <c r="B15" s="10" t="s">
        <v>69</v>
      </c>
      <c r="C15" s="11" t="s">
        <v>85</v>
      </c>
      <c r="D15" s="4" t="s">
        <v>89</v>
      </c>
      <c r="E15" s="11" t="s">
        <v>5</v>
      </c>
      <c r="F15" s="4" t="s">
        <v>90</v>
      </c>
      <c r="G15" s="15" t="s">
        <v>91</v>
      </c>
      <c r="H15" s="4"/>
      <c r="I15" s="12"/>
      <c r="J15" s="12"/>
      <c r="K15" s="13" t="s">
        <v>38</v>
      </c>
      <c r="L15" s="14"/>
    </row>
    <row r="16" customFormat="false" ht="48" hidden="false" customHeight="true" outlineLevel="0" collapsed="false">
      <c r="A16" s="11" t="n">
        <v>15</v>
      </c>
      <c r="B16" s="10" t="s">
        <v>69</v>
      </c>
      <c r="C16" s="11" t="s">
        <v>92</v>
      </c>
      <c r="D16" s="15" t="s">
        <v>93</v>
      </c>
      <c r="E16" s="11" t="s">
        <v>7</v>
      </c>
      <c r="F16" s="4" t="s">
        <v>94</v>
      </c>
      <c r="G16" s="15" t="s">
        <v>95</v>
      </c>
      <c r="H16" s="4" t="s">
        <v>96</v>
      </c>
      <c r="I16" s="12"/>
      <c r="J16" s="12"/>
      <c r="K16" s="13" t="s">
        <v>38</v>
      </c>
      <c r="L16" s="14"/>
    </row>
    <row r="17" customFormat="false" ht="48" hidden="false" customHeight="true" outlineLevel="0" collapsed="false">
      <c r="A17" s="11" t="n">
        <v>16</v>
      </c>
      <c r="B17" s="10" t="s">
        <v>69</v>
      </c>
      <c r="C17" s="11" t="s">
        <v>97</v>
      </c>
      <c r="D17" s="4" t="s">
        <v>98</v>
      </c>
      <c r="E17" s="11" t="s">
        <v>5</v>
      </c>
      <c r="F17" s="4" t="s">
        <v>99</v>
      </c>
      <c r="G17" s="15" t="s">
        <v>100</v>
      </c>
      <c r="H17" s="4"/>
      <c r="I17" s="12"/>
      <c r="J17" s="12"/>
      <c r="K17" s="13" t="s">
        <v>38</v>
      </c>
      <c r="L17" s="14"/>
    </row>
    <row r="18" customFormat="false" ht="48" hidden="false" customHeight="true" outlineLevel="0" collapsed="false">
      <c r="A18" s="11" t="n">
        <v>17</v>
      </c>
      <c r="B18" s="10" t="s">
        <v>69</v>
      </c>
      <c r="C18" s="11" t="s">
        <v>97</v>
      </c>
      <c r="D18" s="4" t="s">
        <v>101</v>
      </c>
      <c r="E18" s="11" t="s">
        <v>7</v>
      </c>
      <c r="F18" s="4" t="s">
        <v>102</v>
      </c>
      <c r="G18" s="4" t="s">
        <v>103</v>
      </c>
      <c r="H18" s="4" t="s">
        <v>104</v>
      </c>
      <c r="I18" s="12"/>
      <c r="J18" s="12"/>
      <c r="K18" s="13" t="s">
        <v>38</v>
      </c>
      <c r="L18" s="14"/>
    </row>
    <row r="19" customFormat="false" ht="48" hidden="false" customHeight="true" outlineLevel="0" collapsed="false">
      <c r="A19" s="11" t="n">
        <v>18</v>
      </c>
      <c r="B19" s="10" t="s">
        <v>105</v>
      </c>
      <c r="C19" s="10" t="s">
        <v>33</v>
      </c>
      <c r="D19" s="15" t="s">
        <v>106</v>
      </c>
      <c r="E19" s="11" t="s">
        <v>5</v>
      </c>
      <c r="F19" s="15" t="s">
        <v>107</v>
      </c>
      <c r="G19" s="4"/>
      <c r="H19" s="4"/>
      <c r="I19" s="12"/>
      <c r="J19" s="12"/>
      <c r="K19" s="13" t="s">
        <v>38</v>
      </c>
      <c r="L19" s="14"/>
    </row>
    <row r="20" customFormat="false" ht="48" hidden="false" customHeight="true" outlineLevel="0" collapsed="false">
      <c r="A20" s="11" t="n">
        <v>19</v>
      </c>
      <c r="B20" s="10" t="s">
        <v>105</v>
      </c>
      <c r="C20" s="11" t="s">
        <v>108</v>
      </c>
      <c r="D20" s="4" t="s">
        <v>109</v>
      </c>
      <c r="E20" s="11" t="s">
        <v>5</v>
      </c>
      <c r="F20" s="4" t="s">
        <v>110</v>
      </c>
      <c r="G20" s="15" t="s">
        <v>111</v>
      </c>
      <c r="H20" s="4" t="s">
        <v>112</v>
      </c>
      <c r="I20" s="12"/>
      <c r="J20" s="12"/>
      <c r="K20" s="13" t="s">
        <v>38</v>
      </c>
      <c r="L20" s="14"/>
    </row>
    <row r="21" customFormat="false" ht="48" hidden="false" customHeight="true" outlineLevel="0" collapsed="false">
      <c r="A21" s="11" t="n">
        <v>20</v>
      </c>
      <c r="B21" s="10" t="s">
        <v>105</v>
      </c>
      <c r="C21" s="11" t="s">
        <v>108</v>
      </c>
      <c r="D21" s="4" t="s">
        <v>113</v>
      </c>
      <c r="E21" s="11" t="s">
        <v>9</v>
      </c>
      <c r="F21" s="4" t="s">
        <v>114</v>
      </c>
      <c r="G21" s="4" t="s">
        <v>115</v>
      </c>
      <c r="H21" s="4" t="s">
        <v>116</v>
      </c>
      <c r="I21" s="12"/>
      <c r="J21" s="12"/>
      <c r="K21" s="13" t="s">
        <v>38</v>
      </c>
      <c r="L21" s="14"/>
    </row>
    <row r="22" customFormat="false" ht="48" hidden="false" customHeight="true" outlineLevel="0" collapsed="false">
      <c r="A22" s="11" t="n">
        <v>21</v>
      </c>
      <c r="B22" s="10" t="s">
        <v>105</v>
      </c>
      <c r="C22" s="11" t="s">
        <v>117</v>
      </c>
      <c r="D22" s="4" t="s">
        <v>118</v>
      </c>
      <c r="E22" s="11" t="s">
        <v>9</v>
      </c>
      <c r="F22" s="15" t="s">
        <v>119</v>
      </c>
      <c r="G22" s="4"/>
      <c r="H22" s="4" t="s">
        <v>79</v>
      </c>
      <c r="I22" s="12"/>
      <c r="J22" s="12"/>
      <c r="K22" s="13" t="s">
        <v>38</v>
      </c>
      <c r="L22" s="14"/>
    </row>
    <row r="23" customFormat="false" ht="48" hidden="false" customHeight="true" outlineLevel="0" collapsed="false">
      <c r="A23" s="11" t="n">
        <v>22</v>
      </c>
      <c r="B23" s="10" t="s">
        <v>105</v>
      </c>
      <c r="C23" s="11" t="s">
        <v>120</v>
      </c>
      <c r="D23" s="4" t="s">
        <v>121</v>
      </c>
      <c r="E23" s="11" t="s">
        <v>7</v>
      </c>
      <c r="F23" s="4" t="s">
        <v>122</v>
      </c>
      <c r="G23" s="15" t="s">
        <v>123</v>
      </c>
      <c r="H23" s="4" t="s">
        <v>124</v>
      </c>
      <c r="I23" s="12"/>
      <c r="J23" s="12"/>
      <c r="K23" s="13" t="s">
        <v>38</v>
      </c>
      <c r="L23" s="14"/>
    </row>
    <row r="24" customFormat="false" ht="48" hidden="false" customHeight="true" outlineLevel="0" collapsed="false">
      <c r="A24" s="11" t="n">
        <v>23</v>
      </c>
      <c r="B24" s="10" t="s">
        <v>105</v>
      </c>
      <c r="C24" s="11" t="s">
        <v>108</v>
      </c>
      <c r="D24" s="15" t="s">
        <v>125</v>
      </c>
      <c r="E24" s="11" t="s">
        <v>9</v>
      </c>
      <c r="F24" s="15" t="s">
        <v>126</v>
      </c>
      <c r="G24" s="15" t="s">
        <v>127</v>
      </c>
      <c r="H24" s="4" t="s">
        <v>79</v>
      </c>
      <c r="I24" s="12"/>
      <c r="J24" s="12"/>
      <c r="K24" s="13" t="s">
        <v>38</v>
      </c>
      <c r="L24" s="14"/>
    </row>
    <row r="25" customFormat="false" ht="48" hidden="false" customHeight="true" outlineLevel="0" collapsed="false">
      <c r="A25" s="11" t="n">
        <v>24</v>
      </c>
      <c r="B25" s="10" t="s">
        <v>105</v>
      </c>
      <c r="C25" s="11" t="s">
        <v>128</v>
      </c>
      <c r="D25" s="4" t="s">
        <v>129</v>
      </c>
      <c r="E25" s="11" t="s">
        <v>11</v>
      </c>
      <c r="F25" s="4" t="s">
        <v>130</v>
      </c>
      <c r="G25" s="4" t="s">
        <v>131</v>
      </c>
      <c r="H25" s="4" t="s">
        <v>132</v>
      </c>
      <c r="I25" s="12"/>
      <c r="J25" s="12"/>
      <c r="K25" s="13" t="s">
        <v>38</v>
      </c>
      <c r="L25" s="14"/>
    </row>
    <row r="26" customFormat="false" ht="48" hidden="false" customHeight="true" outlineLevel="0" collapsed="false">
      <c r="A26" s="11" t="n">
        <v>25</v>
      </c>
      <c r="B26" s="10" t="s">
        <v>105</v>
      </c>
      <c r="C26" s="11" t="s">
        <v>133</v>
      </c>
      <c r="D26" s="4" t="s">
        <v>134</v>
      </c>
      <c r="E26" s="11" t="s">
        <v>7</v>
      </c>
      <c r="F26" s="4" t="s">
        <v>135</v>
      </c>
      <c r="G26" s="4" t="s">
        <v>136</v>
      </c>
      <c r="H26" s="4" t="s">
        <v>137</v>
      </c>
      <c r="I26" s="12"/>
      <c r="J26" s="12"/>
      <c r="K26" s="13" t="s">
        <v>38</v>
      </c>
      <c r="L26" s="14"/>
    </row>
    <row r="27" customFormat="false" ht="48" hidden="false" customHeight="true" outlineLevel="0" collapsed="false">
      <c r="A27" s="11" t="n">
        <v>26</v>
      </c>
      <c r="B27" s="10" t="s">
        <v>105</v>
      </c>
      <c r="C27" s="11" t="s">
        <v>133</v>
      </c>
      <c r="D27" s="4" t="s">
        <v>138</v>
      </c>
      <c r="E27" s="11" t="s">
        <v>9</v>
      </c>
      <c r="F27" s="4" t="s">
        <v>139</v>
      </c>
      <c r="G27" s="15" t="s">
        <v>140</v>
      </c>
      <c r="H27" s="4" t="s">
        <v>141</v>
      </c>
      <c r="I27" s="12"/>
      <c r="J27" s="12"/>
      <c r="K27" s="13" t="s">
        <v>38</v>
      </c>
      <c r="L27" s="14"/>
    </row>
    <row r="28" customFormat="false" ht="48" hidden="false" customHeight="true" outlineLevel="0" collapsed="false">
      <c r="A28" s="11" t="n">
        <v>27</v>
      </c>
      <c r="B28" s="10" t="s">
        <v>105</v>
      </c>
      <c r="C28" s="11" t="s">
        <v>142</v>
      </c>
      <c r="D28" s="15" t="s">
        <v>143</v>
      </c>
      <c r="E28" s="11" t="s">
        <v>7</v>
      </c>
      <c r="F28" s="15" t="s">
        <v>144</v>
      </c>
      <c r="G28" s="15" t="s">
        <v>145</v>
      </c>
      <c r="H28" s="15" t="s">
        <v>146</v>
      </c>
      <c r="I28" s="12"/>
      <c r="J28" s="12"/>
      <c r="K28" s="13" t="s">
        <v>38</v>
      </c>
      <c r="L28" s="14"/>
    </row>
    <row r="29" customFormat="false" ht="48" hidden="false" customHeight="true" outlineLevel="0" collapsed="false">
      <c r="A29" s="11" t="n">
        <v>28</v>
      </c>
      <c r="B29" s="10" t="s">
        <v>105</v>
      </c>
      <c r="C29" s="11" t="s">
        <v>142</v>
      </c>
      <c r="D29" s="15" t="s">
        <v>147</v>
      </c>
      <c r="E29" s="11" t="s">
        <v>7</v>
      </c>
      <c r="F29" s="15" t="s">
        <v>148</v>
      </c>
      <c r="G29" s="4"/>
      <c r="H29" s="15" t="s">
        <v>149</v>
      </c>
      <c r="I29" s="12"/>
      <c r="J29" s="12"/>
      <c r="K29" s="13" t="s">
        <v>38</v>
      </c>
      <c r="L29" s="14"/>
    </row>
    <row r="30" customFormat="false" ht="48" hidden="false" customHeight="true" outlineLevel="0" collapsed="false">
      <c r="A30" s="11" t="n">
        <v>29</v>
      </c>
      <c r="B30" s="10" t="s">
        <v>150</v>
      </c>
      <c r="C30" s="10" t="s">
        <v>33</v>
      </c>
      <c r="D30" s="15" t="s">
        <v>151</v>
      </c>
      <c r="E30" s="11" t="s">
        <v>5</v>
      </c>
      <c r="F30" s="4" t="s">
        <v>152</v>
      </c>
      <c r="G30" s="4"/>
      <c r="H30" s="4"/>
      <c r="I30" s="12"/>
      <c r="J30" s="12"/>
      <c r="K30" s="13" t="s">
        <v>38</v>
      </c>
      <c r="L30" s="14"/>
    </row>
    <row r="31" customFormat="false" ht="48" hidden="false" customHeight="true" outlineLevel="0" collapsed="false">
      <c r="A31" s="11" t="n">
        <v>30</v>
      </c>
      <c r="B31" s="10" t="s">
        <v>150</v>
      </c>
      <c r="C31" s="11" t="s">
        <v>153</v>
      </c>
      <c r="D31" s="4" t="s">
        <v>154</v>
      </c>
      <c r="E31" s="11" t="s">
        <v>5</v>
      </c>
      <c r="F31" s="15" t="s">
        <v>155</v>
      </c>
      <c r="G31" s="15" t="s">
        <v>156</v>
      </c>
      <c r="H31" s="4"/>
      <c r="I31" s="12"/>
      <c r="J31" s="12"/>
      <c r="K31" s="13" t="s">
        <v>38</v>
      </c>
      <c r="L31" s="14"/>
    </row>
    <row r="32" customFormat="false" ht="48" hidden="false" customHeight="true" outlineLevel="0" collapsed="false">
      <c r="A32" s="11" t="n">
        <v>31</v>
      </c>
      <c r="B32" s="10" t="s">
        <v>150</v>
      </c>
      <c r="C32" s="11" t="s">
        <v>153</v>
      </c>
      <c r="D32" s="4" t="s">
        <v>157</v>
      </c>
      <c r="E32" s="11" t="s">
        <v>9</v>
      </c>
      <c r="F32" s="4" t="s">
        <v>158</v>
      </c>
      <c r="G32" s="4"/>
      <c r="H32" s="4" t="s">
        <v>79</v>
      </c>
      <c r="I32" s="12"/>
      <c r="J32" s="12"/>
      <c r="K32" s="13" t="s">
        <v>38</v>
      </c>
      <c r="L32" s="14"/>
    </row>
    <row r="33" customFormat="false" ht="48" hidden="false" customHeight="true" outlineLevel="0" collapsed="false">
      <c r="A33" s="11" t="n">
        <v>32</v>
      </c>
      <c r="B33" s="10" t="s">
        <v>150</v>
      </c>
      <c r="C33" s="11" t="s">
        <v>159</v>
      </c>
      <c r="D33" s="4" t="s">
        <v>160</v>
      </c>
      <c r="E33" s="11" t="s">
        <v>5</v>
      </c>
      <c r="F33" s="4" t="s">
        <v>161</v>
      </c>
      <c r="G33" s="15" t="s">
        <v>162</v>
      </c>
      <c r="H33" s="4"/>
      <c r="I33" s="12"/>
      <c r="J33" s="12"/>
      <c r="K33" s="13" t="s">
        <v>38</v>
      </c>
      <c r="L33" s="14"/>
    </row>
    <row r="34" customFormat="false" ht="48" hidden="false" customHeight="true" outlineLevel="0" collapsed="false">
      <c r="A34" s="11" t="n">
        <v>33</v>
      </c>
      <c r="B34" s="10" t="s">
        <v>150</v>
      </c>
      <c r="C34" s="11" t="s">
        <v>159</v>
      </c>
      <c r="D34" s="4" t="s">
        <v>163</v>
      </c>
      <c r="E34" s="11" t="s">
        <v>5</v>
      </c>
      <c r="F34" s="15" t="s">
        <v>164</v>
      </c>
      <c r="G34" s="15" t="s">
        <v>140</v>
      </c>
      <c r="H34" s="4"/>
      <c r="I34" s="12"/>
      <c r="J34" s="12"/>
      <c r="K34" s="13" t="s">
        <v>38</v>
      </c>
      <c r="L34" s="14"/>
    </row>
    <row r="35" customFormat="false" ht="48" hidden="false" customHeight="true" outlineLevel="0" collapsed="false">
      <c r="A35" s="11" t="n">
        <v>34</v>
      </c>
      <c r="B35" s="10" t="s">
        <v>150</v>
      </c>
      <c r="C35" s="11" t="s">
        <v>159</v>
      </c>
      <c r="D35" s="4" t="s">
        <v>165</v>
      </c>
      <c r="E35" s="11" t="s">
        <v>7</v>
      </c>
      <c r="F35" s="4" t="s">
        <v>166</v>
      </c>
      <c r="G35" s="4" t="s">
        <v>167</v>
      </c>
      <c r="H35" s="15" t="s">
        <v>168</v>
      </c>
      <c r="I35" s="12"/>
      <c r="J35" s="12"/>
      <c r="K35" s="13" t="s">
        <v>38</v>
      </c>
      <c r="L35" s="14"/>
    </row>
    <row r="36" customFormat="false" ht="48" hidden="false" customHeight="true" outlineLevel="0" collapsed="false">
      <c r="A36" s="11" t="n">
        <v>35</v>
      </c>
      <c r="B36" s="10" t="s">
        <v>150</v>
      </c>
      <c r="C36" s="11" t="s">
        <v>159</v>
      </c>
      <c r="D36" s="4" t="s">
        <v>169</v>
      </c>
      <c r="E36" s="11" t="s">
        <v>7</v>
      </c>
      <c r="F36" s="4" t="s">
        <v>170</v>
      </c>
      <c r="G36" s="15" t="s">
        <v>171</v>
      </c>
      <c r="H36" s="4" t="s">
        <v>172</v>
      </c>
      <c r="I36" s="12"/>
      <c r="J36" s="12"/>
      <c r="K36" s="13" t="s">
        <v>38</v>
      </c>
      <c r="L36" s="14"/>
    </row>
    <row r="37" customFormat="false" ht="48" hidden="false" customHeight="true" outlineLevel="0" collapsed="false">
      <c r="A37" s="11" t="n">
        <v>36</v>
      </c>
      <c r="B37" s="11" t="s">
        <v>173</v>
      </c>
      <c r="C37" s="11" t="s">
        <v>174</v>
      </c>
      <c r="D37" s="4" t="s">
        <v>175</v>
      </c>
      <c r="E37" s="11" t="s">
        <v>5</v>
      </c>
      <c r="F37" s="4" t="s">
        <v>176</v>
      </c>
      <c r="G37" s="15" t="s">
        <v>177</v>
      </c>
      <c r="H37" s="4"/>
      <c r="I37" s="12"/>
      <c r="J37" s="12"/>
      <c r="K37" s="13" t="s">
        <v>38</v>
      </c>
      <c r="L37" s="14"/>
    </row>
    <row r="38" customFormat="false" ht="48" hidden="false" customHeight="true" outlineLevel="0" collapsed="false">
      <c r="A38" s="11" t="n">
        <v>37</v>
      </c>
      <c r="B38" s="11" t="s">
        <v>173</v>
      </c>
      <c r="C38" s="11" t="s">
        <v>178</v>
      </c>
      <c r="D38" s="4" t="s">
        <v>179</v>
      </c>
      <c r="E38" s="11" t="s">
        <v>5</v>
      </c>
      <c r="F38" s="15" t="s">
        <v>180</v>
      </c>
      <c r="G38" s="4" t="s">
        <v>181</v>
      </c>
      <c r="H38" s="4" t="s">
        <v>182</v>
      </c>
      <c r="I38" s="12"/>
      <c r="J38" s="12"/>
      <c r="K38" s="13" t="s">
        <v>38</v>
      </c>
      <c r="L38" s="14"/>
    </row>
    <row r="39" customFormat="false" ht="48" hidden="false" customHeight="true" outlineLevel="0" collapsed="false">
      <c r="A39" s="11" t="n">
        <v>38</v>
      </c>
      <c r="B39" s="11" t="s">
        <v>173</v>
      </c>
      <c r="C39" s="10" t="s">
        <v>33</v>
      </c>
      <c r="D39" s="4" t="s">
        <v>183</v>
      </c>
      <c r="E39" s="11" t="s">
        <v>13</v>
      </c>
      <c r="F39" s="4" t="s">
        <v>184</v>
      </c>
      <c r="G39" s="4"/>
      <c r="H39" s="4"/>
      <c r="I39" s="12"/>
      <c r="J39" s="12"/>
      <c r="K39" s="13" t="s">
        <v>185</v>
      </c>
      <c r="L39" s="14"/>
    </row>
  </sheetData>
  <autoFilter ref="A1:L39"/>
  <conditionalFormatting sqref="E2:E39">
    <cfRule type="expression" priority="2" aboveAverage="0" equalAverage="0" bottom="0" percent="0" rank="0" text="" dxfId="9">
      <formula>$E2="바로 채움"</formula>
    </cfRule>
    <cfRule type="expression" priority="3" aboveAverage="0" equalAverage="0" bottom="0" percent="0" rank="0" text="" dxfId="10">
      <formula>$E2="확인 후 채움"</formula>
    </cfRule>
    <cfRule type="expression" priority="4" aboveAverage="0" equalAverage="0" bottom="0" percent="0" rank="0" text="" dxfId="11">
      <formula>$E2="팀 작업"</formula>
    </cfRule>
    <cfRule type="expression" priority="5" aboveAverage="0" equalAverage="0" bottom="0" percent="0" rank="0" text="" dxfId="12">
      <formula>$E2="수정 필요"</formula>
    </cfRule>
    <cfRule type="expression" priority="6" aboveAverage="0" equalAverage="0" bottom="0" percent="0" rank="0" text="" dxfId="13">
      <formula>$E2="작성됨"</formula>
    </cfRule>
  </conditionalFormatting>
  <dataValidations count="1">
    <dataValidation allowBlank="true" errorStyle="stop" operator="between" showDropDown="false" showErrorMessage="false" showInputMessage="false" sqref="K2:K39" type="list">
      <formula1>"미착수,진행중,완료"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48"/>
    <col collapsed="false" customWidth="true" hidden="false" outlineLevel="0" max="4" min="4" style="0" width="40"/>
    <col collapsed="false" customWidth="true" hidden="false" outlineLevel="0" max="5" min="5" style="0" width="3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9" t="s">
        <v>186</v>
      </c>
      <c r="B1" s="9" t="s">
        <v>187</v>
      </c>
      <c r="C1" s="9" t="s">
        <v>188</v>
      </c>
      <c r="D1" s="9" t="s">
        <v>189</v>
      </c>
      <c r="E1" s="9" t="s">
        <v>190</v>
      </c>
      <c r="F1" s="9" t="s">
        <v>191</v>
      </c>
    </row>
    <row r="2" customFormat="false" ht="39.75" hidden="false" customHeight="true" outlineLevel="0" collapsed="false">
      <c r="A2" s="11" t="n">
        <v>1</v>
      </c>
      <c r="B2" s="10" t="s">
        <v>192</v>
      </c>
      <c r="C2" s="4" t="s">
        <v>193</v>
      </c>
      <c r="D2" s="15" t="s">
        <v>194</v>
      </c>
      <c r="E2" s="14"/>
      <c r="F2" s="12"/>
    </row>
    <row r="3" customFormat="false" ht="39.75" hidden="false" customHeight="true" outlineLevel="0" collapsed="false">
      <c r="A3" s="11" t="n">
        <v>2</v>
      </c>
      <c r="B3" s="10" t="s">
        <v>195</v>
      </c>
      <c r="C3" s="15" t="s">
        <v>196</v>
      </c>
      <c r="D3" s="4" t="s">
        <v>197</v>
      </c>
      <c r="E3" s="14"/>
      <c r="F3" s="12"/>
    </row>
    <row r="4" customFormat="false" ht="39.75" hidden="false" customHeight="true" outlineLevel="0" collapsed="false">
      <c r="A4" s="11" t="n">
        <v>3</v>
      </c>
      <c r="B4" s="10" t="s">
        <v>198</v>
      </c>
      <c r="C4" s="15" t="s">
        <v>199</v>
      </c>
      <c r="D4" s="4" t="s">
        <v>200</v>
      </c>
      <c r="E4" s="14"/>
      <c r="F4" s="12"/>
    </row>
    <row r="5" customFormat="false" ht="39.75" hidden="false" customHeight="true" outlineLevel="0" collapsed="false">
      <c r="A5" s="11" t="n">
        <v>4</v>
      </c>
      <c r="B5" s="10" t="s">
        <v>201</v>
      </c>
      <c r="C5" s="15" t="s">
        <v>202</v>
      </c>
      <c r="D5" s="4" t="s">
        <v>203</v>
      </c>
      <c r="E5" s="14"/>
      <c r="F5" s="12"/>
    </row>
    <row r="6" customFormat="false" ht="39.75" hidden="false" customHeight="true" outlineLevel="0" collapsed="false">
      <c r="A6" s="11" t="n">
        <v>5</v>
      </c>
      <c r="B6" s="10" t="s">
        <v>204</v>
      </c>
      <c r="C6" s="15" t="s">
        <v>205</v>
      </c>
      <c r="D6" s="4" t="s">
        <v>206</v>
      </c>
      <c r="E6" s="14"/>
      <c r="F6" s="12"/>
    </row>
    <row r="7" customFormat="false" ht="39.75" hidden="false" customHeight="true" outlineLevel="0" collapsed="false">
      <c r="A7" s="11" t="n">
        <v>6</v>
      </c>
      <c r="B7" s="10" t="s">
        <v>207</v>
      </c>
      <c r="C7" s="4" t="s">
        <v>208</v>
      </c>
      <c r="D7" s="4" t="s">
        <v>209</v>
      </c>
      <c r="E7" s="14"/>
      <c r="F7" s="12"/>
    </row>
    <row r="8" customFormat="false" ht="39.75" hidden="false" customHeight="true" outlineLevel="0" collapsed="false">
      <c r="A8" s="11" t="n">
        <v>7</v>
      </c>
      <c r="B8" s="10" t="s">
        <v>210</v>
      </c>
      <c r="C8" s="15" t="s">
        <v>211</v>
      </c>
      <c r="D8" s="15" t="s">
        <v>212</v>
      </c>
      <c r="E8" s="14"/>
      <c r="F8" s="12"/>
    </row>
    <row r="9" customFormat="false" ht="39.75" hidden="false" customHeight="true" outlineLevel="0" collapsed="false">
      <c r="A9" s="11" t="n">
        <v>8</v>
      </c>
      <c r="B9" s="10" t="s">
        <v>213</v>
      </c>
      <c r="C9" s="4" t="s">
        <v>214</v>
      </c>
      <c r="D9" s="4" t="s">
        <v>215</v>
      </c>
      <c r="E9" s="14"/>
      <c r="F9" s="12"/>
    </row>
    <row r="10" customFormat="false" ht="39.75" hidden="false" customHeight="true" outlineLevel="0" collapsed="false">
      <c r="A10" s="11" t="n">
        <v>9</v>
      </c>
      <c r="B10" s="10" t="s">
        <v>216</v>
      </c>
      <c r="C10" s="4" t="s">
        <v>217</v>
      </c>
      <c r="D10" s="4" t="s">
        <v>218</v>
      </c>
      <c r="E10" s="14"/>
      <c r="F10" s="12"/>
    </row>
    <row r="11" customFormat="false" ht="39.75" hidden="false" customHeight="true" outlineLevel="0" collapsed="false">
      <c r="A11" s="11" t="n">
        <v>10</v>
      </c>
      <c r="B11" s="10" t="s">
        <v>219</v>
      </c>
      <c r="C11" s="15" t="s">
        <v>220</v>
      </c>
      <c r="D11" s="15" t="s">
        <v>221</v>
      </c>
      <c r="E11" s="14"/>
      <c r="F11" s="12"/>
    </row>
    <row r="12" customFormat="false" ht="39.75" hidden="false" customHeight="true" outlineLevel="0" collapsed="false">
      <c r="A12" s="11" t="n">
        <v>11</v>
      </c>
      <c r="B12" s="10" t="s">
        <v>222</v>
      </c>
      <c r="C12" s="4" t="s">
        <v>223</v>
      </c>
      <c r="D12" s="15" t="s">
        <v>224</v>
      </c>
      <c r="E12" s="14"/>
      <c r="F12" s="12"/>
    </row>
    <row r="13" customFormat="false" ht="39.75" hidden="false" customHeight="true" outlineLevel="0" collapsed="false">
      <c r="A13" s="11" t="n">
        <v>12</v>
      </c>
      <c r="B13" s="10" t="s">
        <v>225</v>
      </c>
      <c r="C13" s="4" t="s">
        <v>226</v>
      </c>
      <c r="D13" s="15" t="s">
        <v>227</v>
      </c>
      <c r="E13" s="14"/>
      <c r="F13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54"/>
  </cols>
  <sheetData>
    <row r="1" customFormat="false" ht="19.4" hidden="false" customHeight="false" outlineLevel="0" collapsed="false">
      <c r="A1" s="16" t="s">
        <v>228</v>
      </c>
    </row>
    <row r="2" customFormat="false" ht="15" hidden="false" customHeight="false" outlineLevel="0" collapsed="false">
      <c r="A2" s="2" t="s">
        <v>229</v>
      </c>
    </row>
    <row r="3" customFormat="false" ht="15" hidden="false" customHeight="false" outlineLevel="0" collapsed="false">
      <c r="A3" s="4" t="s">
        <v>230</v>
      </c>
      <c r="B3" s="17" t="n">
        <v>15</v>
      </c>
      <c r="D3" s="15" t="s">
        <v>231</v>
      </c>
    </row>
    <row r="4" customFormat="false" ht="15" hidden="false" customHeight="false" outlineLevel="0" collapsed="false">
      <c r="A4" s="4" t="s">
        <v>232</v>
      </c>
      <c r="B4" s="17" t="n">
        <v>85</v>
      </c>
      <c r="D4" s="15" t="s">
        <v>233</v>
      </c>
    </row>
    <row r="5" customFormat="false" ht="15" hidden="false" customHeight="false" outlineLevel="0" collapsed="false">
      <c r="A5" s="4" t="s">
        <v>234</v>
      </c>
      <c r="B5" s="17" t="n">
        <v>45</v>
      </c>
      <c r="D5" s="15" t="s">
        <v>231</v>
      </c>
    </row>
    <row r="6" customFormat="false" ht="15" hidden="false" customHeight="false" outlineLevel="0" collapsed="false">
      <c r="A6" s="15" t="s">
        <v>235</v>
      </c>
      <c r="B6" s="17" t="n">
        <v>289</v>
      </c>
      <c r="D6" s="15" t="s">
        <v>236</v>
      </c>
    </row>
    <row r="7" customFormat="false" ht="15" hidden="false" customHeight="false" outlineLevel="0" collapsed="false">
      <c r="A7" s="15" t="s">
        <v>237</v>
      </c>
      <c r="B7" s="17" t="n">
        <v>6</v>
      </c>
      <c r="D7" s="4" t="s">
        <v>238</v>
      </c>
    </row>
    <row r="8" customFormat="false" ht="15" hidden="false" customHeight="false" outlineLevel="0" collapsed="false">
      <c r="A8" s="15" t="s">
        <v>239</v>
      </c>
      <c r="B8" s="17" t="n">
        <v>2</v>
      </c>
      <c r="D8" s="15" t="s">
        <v>240</v>
      </c>
    </row>
    <row r="10" customFormat="false" ht="15" hidden="false" customHeight="false" outlineLevel="0" collapsed="false">
      <c r="A10" s="4" t="s">
        <v>241</v>
      </c>
      <c r="B10" s="18" t="n">
        <f aca="false">3600/B3</f>
        <v>240</v>
      </c>
      <c r="D10" s="4" t="s">
        <v>242</v>
      </c>
    </row>
    <row r="11" customFormat="false" ht="15" hidden="false" customHeight="false" outlineLevel="0" collapsed="false">
      <c r="A11" s="15" t="s">
        <v>243</v>
      </c>
      <c r="B11" s="18" t="n">
        <f aca="false">3600/B4</f>
        <v>42.3529411764706</v>
      </c>
      <c r="D11" s="4"/>
    </row>
    <row r="12" customFormat="false" ht="15" hidden="false" customHeight="false" outlineLevel="0" collapsed="false">
      <c r="A12" s="15" t="s">
        <v>244</v>
      </c>
      <c r="B12" s="19" t="n">
        <f aca="false">ROUNDUP(B4/B3,0)</f>
        <v>6</v>
      </c>
      <c r="D12" s="15" t="s">
        <v>245</v>
      </c>
    </row>
    <row r="13" customFormat="false" ht="15" hidden="false" customHeight="false" outlineLevel="0" collapsed="false">
      <c r="A13" s="15" t="s">
        <v>246</v>
      </c>
      <c r="B13" s="19" t="n">
        <f aca="false">ROUNDUP(B5/B3,0)</f>
        <v>3</v>
      </c>
      <c r="D13" s="4"/>
    </row>
    <row r="14" customFormat="false" ht="15" hidden="false" customHeight="false" outlineLevel="0" collapsed="false">
      <c r="A14" s="15" t="s">
        <v>247</v>
      </c>
      <c r="B14" s="18" t="n">
        <f aca="false">3600/B6</f>
        <v>12.4567474048443</v>
      </c>
      <c r="D14" s="4"/>
    </row>
    <row r="15" customFormat="false" ht="15" hidden="false" customHeight="false" outlineLevel="0" collapsed="false">
      <c r="A15" s="4" t="s">
        <v>248</v>
      </c>
      <c r="B15" s="20" t="n">
        <f aca="false">B10/B14</f>
        <v>19.2666666666667</v>
      </c>
      <c r="D15" s="4" t="s">
        <v>249</v>
      </c>
    </row>
    <row r="16" customFormat="false" ht="15" hidden="false" customHeight="false" outlineLevel="0" collapsed="false">
      <c r="A16" s="4" t="s">
        <v>250</v>
      </c>
      <c r="B16" s="21" t="n">
        <f aca="false">1-B8/B7</f>
        <v>0.666666666666667</v>
      </c>
      <c r="D16" s="4"/>
    </row>
    <row r="17" customFormat="false" ht="31.5" hidden="false" customHeight="true" outlineLevel="0" collapsed="false">
      <c r="A17" s="4" t="s">
        <v>251</v>
      </c>
      <c r="B17" s="4" t="str">
        <f aca="false">IF(B12&gt;1,"셀 "&amp;B12&amp;"개 병렬 근거가 없으면 C/T 15초는 성립하지 않음","성립")</f>
        <v>셀 6개 병렬 근거가 없으면 C/T 15초는 성립하지 않음</v>
      </c>
      <c r="C17" s="4"/>
      <c r="D17" s="4"/>
    </row>
    <row r="19" customFormat="false" ht="19.4" hidden="false" customHeight="false" outlineLevel="0" collapsed="false">
      <c r="A19" s="16" t="s">
        <v>252</v>
      </c>
    </row>
    <row r="20" customFormat="false" ht="15" hidden="false" customHeight="false" outlineLevel="0" collapsed="false">
      <c r="A20" s="9" t="s">
        <v>253</v>
      </c>
      <c r="B20" s="9" t="s">
        <v>254</v>
      </c>
      <c r="C20" s="9" t="s">
        <v>255</v>
      </c>
      <c r="D20" s="9" t="s">
        <v>256</v>
      </c>
    </row>
    <row r="21" customFormat="false" ht="15" hidden="false" customHeight="false" outlineLevel="0" collapsed="false">
      <c r="A21" s="22" t="s">
        <v>257</v>
      </c>
      <c r="B21" s="23" t="n">
        <v>160</v>
      </c>
      <c r="C21" s="23" t="n">
        <v>85</v>
      </c>
      <c r="D21" s="22" t="s">
        <v>258</v>
      </c>
    </row>
    <row r="22" customFormat="false" ht="15" hidden="false" customHeight="false" outlineLevel="0" collapsed="false">
      <c r="A22" s="22" t="s">
        <v>259</v>
      </c>
      <c r="B22" s="23" t="n">
        <v>115</v>
      </c>
      <c r="C22" s="23" t="n">
        <v>23</v>
      </c>
      <c r="D22" s="22"/>
    </row>
    <row r="23" customFormat="false" ht="15" hidden="false" customHeight="false" outlineLevel="0" collapsed="false">
      <c r="A23" s="22" t="s">
        <v>260</v>
      </c>
      <c r="B23" s="23" t="n">
        <v>289</v>
      </c>
      <c r="C23" s="23" t="n">
        <v>83</v>
      </c>
      <c r="D23" s="22" t="s">
        <v>261</v>
      </c>
    </row>
    <row r="24" customFormat="false" ht="15" hidden="false" customHeight="false" outlineLevel="0" collapsed="false">
      <c r="A24" s="22" t="s">
        <v>262</v>
      </c>
      <c r="B24" s="23" t="n">
        <v>215</v>
      </c>
      <c r="C24" s="23" t="n">
        <v>113</v>
      </c>
      <c r="D24" s="22"/>
    </row>
    <row r="25" customFormat="false" ht="15" hidden="false" customHeight="false" outlineLevel="0" collapsed="false">
      <c r="A25" s="22" t="s">
        <v>263</v>
      </c>
      <c r="B25" s="23" t="n">
        <v>140</v>
      </c>
      <c r="C25" s="23" t="n">
        <v>63</v>
      </c>
      <c r="D25" s="22"/>
    </row>
    <row r="26" customFormat="false" ht="15" hidden="false" customHeight="false" outlineLevel="0" collapsed="false">
      <c r="A26" s="5" t="s">
        <v>264</v>
      </c>
      <c r="B26" s="24" t="n">
        <f aca="false">SUM(B21:B25)</f>
        <v>919</v>
      </c>
      <c r="C26" s="24" t="n">
        <f aca="false">SUM(C21:C25)</f>
        <v>367</v>
      </c>
      <c r="D26" s="5"/>
    </row>
    <row r="27" customFormat="false" ht="15" hidden="false" customHeight="false" outlineLevel="0" collapsed="false">
      <c r="A27" s="5" t="s">
        <v>265</v>
      </c>
      <c r="B27" s="24" t="n">
        <f aca="false">MAX(B21:B25)</f>
        <v>289</v>
      </c>
      <c r="C27" s="24" t="n">
        <f aca="false">MAX(C21:C25)</f>
        <v>113</v>
      </c>
      <c r="D27" s="5"/>
    </row>
    <row r="28" customFormat="false" ht="15" hidden="false" customHeight="false" outlineLevel="0" collapsed="false">
      <c r="A28" s="5" t="s">
        <v>266</v>
      </c>
      <c r="B28" s="25" t="n">
        <f aca="false">3600/B27</f>
        <v>12.4567474048443</v>
      </c>
      <c r="C28" s="25" t="n">
        <f aca="false">3600/C27</f>
        <v>31.858407079646</v>
      </c>
      <c r="D28" s="4" t="s">
        <v>267</v>
      </c>
    </row>
    <row r="30" customFormat="false" ht="19.4" hidden="false" customHeight="false" outlineLevel="0" collapsed="false">
      <c r="A30" s="16" t="s">
        <v>268</v>
      </c>
    </row>
    <row r="31" customFormat="false" ht="31.5" hidden="false" customHeight="true" outlineLevel="0" collapsed="false">
      <c r="A31" s="26" t="s">
        <v>269</v>
      </c>
      <c r="B31" s="27" t="s">
        <v>270</v>
      </c>
      <c r="C31" s="27"/>
      <c r="D31" s="27"/>
    </row>
    <row r="32" customFormat="false" ht="31.5" hidden="false" customHeight="true" outlineLevel="0" collapsed="false">
      <c r="A32" s="26" t="s">
        <v>271</v>
      </c>
      <c r="B32" s="27" t="s">
        <v>272</v>
      </c>
      <c r="C32" s="27"/>
      <c r="D32" s="27"/>
    </row>
    <row r="33" customFormat="false" ht="31.5" hidden="false" customHeight="true" outlineLevel="0" collapsed="false">
      <c r="A33" s="26" t="s">
        <v>273</v>
      </c>
      <c r="B33" s="27" t="s">
        <v>274</v>
      </c>
      <c r="C33" s="27"/>
      <c r="D33" s="27"/>
    </row>
    <row r="35" customFormat="false" ht="15" hidden="false" customHeight="false" outlineLevel="0" collapsed="false">
      <c r="A35" s="28" t="s">
        <v>275</v>
      </c>
    </row>
  </sheetData>
  <mergeCells count="4">
    <mergeCell ref="B17:C17"/>
    <mergeCell ref="B31:D31"/>
    <mergeCell ref="B32:D32"/>
    <mergeCell ref="B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2026-10-29T05:35:38Z</dcterms:created>
  <dc:creator>openpyxl</dc:creator>
  <dc:description/>
  <dc:language>en-US</dc:language>
  <cp:lastModifiedBy/>
  <dcterms:modified xsi:type="dcterms:W3CDTF">2026-10-29T05:35:38Z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